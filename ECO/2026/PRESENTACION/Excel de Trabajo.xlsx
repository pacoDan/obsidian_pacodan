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11"/>
  <Override ContentType="application/binary" PartName="/xl/commentsmeta12"/>
  <Override ContentType="application/binary" PartName="/xl/commentsmeta10"/>
  <Override ContentType="application/binary" PartName="/xl/commentsmeta4"/>
  <Override ContentType="application/binary" PartName="/xl/commentsmeta5"/>
  <Override ContentType="application/binary" PartName="/xl/commentsmeta2"/>
  <Override ContentType="application/binary" PartName="/xl/commentsmeta3"/>
  <Override ContentType="application/binary" PartName="/xl/commentsmeta0"/>
  <Override ContentType="application/binary" PartName="/xl/commentsmeta1"/>
  <Override ContentType="application/binary" PartName="/xl/commentsmeta8"/>
  <Override ContentType="application/binary" PartName="/xl/commentsmeta9"/>
  <Override ContentType="application/binary" PartName="/xl/commentsmeta6"/>
  <Override ContentType="application/binary" PartName="/xl/commentsmeta7"/>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átula" sheetId="1" r:id="rId4"/>
    <sheet state="visible" name="Consideraciones" sheetId="2" r:id="rId5"/>
    <sheet state="visible" name="Mercado" sheetId="3" r:id="rId6"/>
    <sheet state="visible" name="Amortización Muebles y Utiles" sheetId="4" r:id="rId7"/>
    <sheet state="hidden" name="Amortización Edificio" sheetId="5" r:id="rId8"/>
    <sheet state="hidden" name="Amortización Rodados" sheetId="6" r:id="rId9"/>
    <sheet state="visible" name="Amortización Desarrollos" sheetId="7" r:id="rId10"/>
    <sheet state="visible" name="Amortización Informática" sheetId="8" r:id="rId11"/>
    <sheet state="visible" name="Amortización Máquinas, Herram i" sheetId="9" r:id="rId12"/>
    <sheet state="visible" name="Costos Variables de Fabricación" sheetId="10" r:id="rId13"/>
    <sheet state="visible" name="Gastos Fijos de Fabricación" sheetId="11" r:id="rId14"/>
    <sheet state="visible" name="Gastos de Comercialización" sheetId="12" r:id="rId15"/>
    <sheet state="visible" name="Gastos Adm y Finanzas" sheetId="13" r:id="rId16"/>
    <sheet state="visible" name="Activo no Corriente" sheetId="14" r:id="rId17"/>
    <sheet state="visible" name="Capital de trabajo" sheetId="15" r:id="rId18"/>
    <sheet state="visible" name="Cuadro de Usos y Fuentes" sheetId="16" r:id="rId19"/>
    <sheet state="visible" name="Puntos de Equilibrio" sheetId="17" r:id="rId20"/>
    <sheet state="visible" name="Balances Pro Forma" sheetId="18" r:id="rId21"/>
    <sheet state="visible" name="Análisis Económico - Financiero" sheetId="19" r:id="rId22"/>
    <sheet state="visible" name="Flujo de caja" sheetId="20" r:id="rId23"/>
  </sheets>
  <definedNames/>
  <calcPr/>
  <extLst>
    <ext uri="GoogleSheetsCustomDataVersion2">
      <go:sheetsCustomData xmlns:go="http://customooxmlschemas.google.com/" r:id="rId24" roundtripDataChecksum="FiD6s98t9n5BMQytfQYV4gCtMVmqm/hJqmK0NAPQby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
      <text>
        <t xml:space="preserve">======
ID#AAAB4m3BaG8
    (2026-04-25 19:12:03)
https://www.bna.com.ar/Home/InformacionAlUsuarioFinanciero</t>
      </text>
    </comment>
    <comment authorId="0" ref="D6">
      <text>
        <t xml:space="preserve">======
ID#AAAB4m3BaEU
    (2026-04-25 19:12:03)
https://www.bna.com.ar/Home/InformacionAlUsuarioFinanciero</t>
      </text>
    </comment>
  </commentList>
  <extLst>
    <ext uri="GoogleSheetsCustomDataVersion2">
      <go:sheetsCustomData xmlns:go="http://customooxmlschemas.google.com/" r:id="rId1" roundtripDataSignature="AMtx7mgTQzaUwnHqueaX4nZIiemcplees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
ID#AAAB6p6g4Tk
Jhon Daniel Olmedo Paco    (2026-04-28 13:31:55)
todas la ventas posibles de bicicletas
------
ID#AAAB6p6jWiE
Jhon Daniel Olmedo Paco    (2026-04-28 14:15:10)
la mitad de la proyecciones de lumilagro
https://www.forbesargentina.com/negocios/la-ambiciosa-reconversion-cuarta-generacion-lumilagro-5-millones-termos-locales-propios-y-futuro-electrodomesticos-n89682#:~:text=5%20millones%20de%20termos%20anuales</t>
      </text>
    </comment>
    <comment authorId="0" ref="F6">
      <text>
        <t xml:space="preserve">======
ID#AAAB4m3BaEQ
    (2026-04-25 19:12:03)
entre 3% y 5%.
En 5 años</t>
      </text>
    </comment>
    <comment authorId="0" ref="G6">
      <text>
        <t xml:space="preserve">======
ID#AAAB4m3BaEY
    (2026-04-25 19:12:03)
en 5 años</t>
      </text>
    </comment>
    <comment authorId="0" ref="F11">
      <text>
        <t xml:space="preserve">======
ID#AAAB4m3BaE4
    (2026-04-25 19:12:03)
https://articulo.mercadolibre.com.ar/MLA-721320605-bicicleta-electrica-trimove-ebike-wr-350-pro-alta-gama-litio-_JM#position=3&amp;search_layout=stack&amp;type=item&amp;tracking_id=1abbe6b8-6910-4376-8e6f-eed8f17504fc</t>
      </text>
    </comment>
    <comment authorId="0" ref="F10">
      <text>
        <t xml:space="preserve">======
ID#AAAB6p6jWiA
Jhon Daniel Olmedo Paco    (2026-04-28 14:14:30)
ver precios https://www.lumilagro.com.ar/?srsltid=AfmBOoqrgb-O9B_oabxFydFMacDD-diF0PR3viKB18TE9LLqQVurb-Ue</t>
      </text>
    </comment>
    <comment authorId="0" ref="E6">
      <text>
        <t xml:space="preserve">======
ID#AAAB4m3BaE8
    (2026-04-25 19:12:03)
https://www.cronista.com/negocios/Bicicletas-subio-10-la-venta-y-se-duplicaron-los-comercios-del-rubro-20171103-0022.html#:~:text=Se%20estima%20que%20en%20el,las%20principales%20ciudades%20del%20pa%C3%ADs.
------
ID#AAAB9hlYifA
NicolÁs Abram LujÁn    (2026-06-13 19:28:37)
https://www.lanacion.com.ar/economia/negocios/stanley-apuesta-fuerte-en-la-argentina-abre-locales-y-suma-a-antonela-roccuzzo-como-embajadora-nid20012026/</t>
      </text>
    </comment>
  </commentList>
  <extLst>
    <ext uri="GoogleSheetsCustomDataVersion2">
      <go:sheetsCustomData xmlns:go="http://customooxmlschemas.google.com/" r:id="rId1" roundtripDataSignature="AMtx7mieUyU+PbXwCEag/azmIciVVZbhl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
ID#AAAB6il68AQ
Jhon Daniel Olmedo Paco    (2026-05-16 14:59:31)
alquilamos, no compramos lugar</t>
      </text>
    </comment>
  </commentList>
  <extLst>
    <ext uri="GoogleSheetsCustomDataVersion2">
      <go:sheetsCustomData xmlns:go="http://customooxmlschemas.google.com/" r:id="rId1" roundtripDataSignature="AMtx7mif1FU3Cd+C735iiDMbsEAYHUbbw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5">
      <text>
        <t xml:space="preserve">======
ID#AAAB4m3BaHA
    (2026-04-25 19:12:03)
entre 20% y 25%</t>
      </text>
    </comment>
    <comment authorId="0" ref="F28">
      <text>
        <t xml:space="preserve">======
ID#AAAB4m3BaGE
    (2026-04-25 19:12:03)
http://www.mininterior.gov.ar/municipios/pdf/Instructivo-Pasajes-Viaticos.pdf
------
ID#AAAB-EKm3-4
Maria Gabriela Pedroza Salazar    (2026-06-17 01:02:43)
https://www.losandes.com.ar/economia/sueldos-trabajadores-metalurgicos-uom-cuanto-se-cobra-rama-mayo-2026-n5988880</t>
      </text>
    </comment>
    <comment authorId="0" ref="D8">
      <text>
        <t xml:space="preserve">======
ID#AAAB9sneu_A
Maria Gabriela Pedroza Salazar    (2026-06-16 02:11:42)
Según la UOM (https://www.clarin.com/informacion-general/uom-mayo-2026-cobra-obrero-metalurgico-piso-garantizado_0_IEODkFDmLf.html#google_vignette)
5.125,89 x 8 (horas) x 22 (días hábiles)</t>
      </text>
    </comment>
    <comment authorId="0" ref="D7">
      <text>
        <t xml:space="preserve">======
ID#AAAB9sneu-8
Maria Gabriela Pedroza Salazar    (2026-06-16 02:06:22)
Según la UOM (https://drive.google.com/file/d/1Pd19ZezBKZcFj4rqQRxy_HSE3DAbT83S/view)
4.672,74 x 8 (horas) x 22 (días hábiles)</t>
      </text>
    </comment>
    <comment authorId="0" ref="L31">
      <text>
        <t xml:space="preserve">======
ID#AAAB4m3BaEk
antes teniamos    (2026-04-25 19:12:03)
$3.398.400.000</t>
      </text>
    </comment>
  </commentList>
  <extLst>
    <ext uri="GoogleSheetsCustomDataVersion2">
      <go:sheetsCustomData xmlns:go="http://customooxmlschemas.google.com/" r:id="rId1" roundtripDataSignature="AMtx7mjjwg17p9xNGmE3hAwr4oWyjunujg=="/>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L25">
      <text>
        <t xml:space="preserve">======
ID#AAAB_SFK8sA
NicolÁs Abram LujÁn    (2026-06-15 19:30:32)
https://www.argenprop.com/galpon-en-alquiler-en-munro--5222329</t>
      </text>
    </comment>
    <comment authorId="0" ref="L23">
      <text>
        <t xml:space="preserve">======
ID#AAAB4m3BaFs
    (2026-04-25 19:12:03)
Conjunto de elementos de proteccion personal, zapatos, ropa, etc. x operario = $13000</t>
      </text>
    </comment>
    <comment authorId="0" ref="L22">
      <text>
        <t xml:space="preserve">======
ID#AAAB4m3BaGc
    (2026-04-25 19:12:03)
en concepto de empleado de limpieza tercerizado y de concurrencia diaria</t>
      </text>
    </comment>
    <comment authorId="0" ref="L21">
      <text>
        <t xml:space="preserve">======
ID#AAAB4m3BaFY
    (2026-04-25 19:12:03)
Personal tercerizado para preparacion de paquetes. Embalando 3 bici cada 20 min = 72 bicis por dia</t>
      </text>
    </comment>
    <comment authorId="0" ref="D7">
      <text>
        <t xml:space="preserve">======
ID#AAAB9sdUQe8
NicolÁs Abram LujÁn    (2026-06-15 19:33:30)
https://bebee.com/ar/salaries/supervisor-de-produccion</t>
      </text>
    </comment>
  </commentList>
  <extLst>
    <ext uri="GoogleSheetsCustomDataVersion2">
      <go:sheetsCustomData xmlns:go="http://customooxmlschemas.google.com/" r:id="rId1" roundtripDataSignature="AMtx7mgNIKY2n+9XzxVnJ1gh1s4fEhLCpQ=="/>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
ID#AAAB9xX27dc
Agustin Sanchez    (2026-06-17 20:38:09)
No tenemos un camión propio ni necesitan un chofer. Necesitamos un empleado en el depósito que arme los paquetes con el empaque antiestático, pegue las etiquetas de envío y se los entregue al correo contratado.</t>
      </text>
    </comment>
    <comment authorId="0" ref="F18">
      <text>
        <t xml:space="preserve">======
ID#AAAB9xX27dY
Agustin Sanchez    (2026-06-17 20:36:03)
No aplica en nuestro caso.</t>
      </text>
    </comment>
    <comment authorId="0" ref="C9">
      <text>
        <t xml:space="preserve">======
ID#AAAB9xX27dU
Agustin Sanchez    (2026-06-17 20:35:25)
El 30% restante de la facturación depende de alianzas con tiendas de diseño, locales de camping premium y regalería empresarial. Se necesita un perfil comercial neto que salga a buscar esas empresas, arme presupuestos corporativos y cierre contratos de volumen</t>
      </text>
    </comment>
    <comment authorId="0" ref="C8">
      <text>
        <t xml:space="preserve">======
ID#AAAB9xX27dg
Agustin Sanchez    (2026-06-17 20:39:29)
No tenemos un camión propio ni necesitan un chofer. Necesitamos un empleado en el depósito que arme los paquetes con el empaque antiestático, pegue las etiquetas de envío y se los entregue al correo contratado.</t>
      </text>
    </comment>
    <comment authorId="0" ref="C7">
      <text>
        <t xml:space="preserve">======
ID#AAAB9xX27dQ
Agustin Sanchez    (2026-06-17 20:34:48)
El canal principal (70%) es digital. Alguien tiene que encargarse del Performance Marketing (manejar las campañas de Meta Ads, Google Ads) , gestionar las alianzas con influencers de nicho , y controlar la plataforma web y su pasarela de pagos.</t>
      </text>
    </comment>
  </commentList>
  <extLst>
    <ext uri="GoogleSheetsCustomDataVersion2">
      <go:sheetsCustomData xmlns:go="http://customooxmlschemas.google.com/" r:id="rId1" roundtripDataSignature="AMtx7mjNrrnuzsltM4gBNWv/MDB1261mm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7">
      <text>
        <t xml:space="preserve">======
ID#AAAB9xX27do
Agustin Sanchez    (2026-06-17 20:46:36)
Licencia ERP, legales tercerizado y papelería/insumos
------
ID#AAAB-N_w4G8
Matias Volders    (2026-06-24 02:33:17)
Agrego la licencia anual de Office 365</t>
      </text>
    </comment>
    <comment authorId="0" ref="C6">
      <text>
        <t xml:space="preserve">======
ID#AAAB9xX27dk
Agustin Sanchez    (2026-06-17 20:44:44)
Al principio, una sola persona puede encargarse de todo: coordinar con los proveedores para que no falte stock de insumos importados, facturar las ventas del e-commerce y controlar los números del banco. No se necesita más.</t>
      </text>
    </comment>
  </commentList>
  <extLst>
    <ext uri="GoogleSheetsCustomDataVersion2">
      <go:sheetsCustomData xmlns:go="http://customooxmlschemas.google.com/" r:id="rId1" roundtripDataSignature="AMtx7mjneZjfziavIF3T92IcBxji+ws+Kg=="/>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
      <text>
        <t xml:space="preserve">======
ID#AAAB4m3BaFA
    (2026-04-25 19:12:03)
Revisar el capital no deberia dar negativo
	-Rolando Galloni</t>
      </text>
    </comment>
  </commentList>
  <extLst>
    <ext uri="GoogleSheetsCustomDataVersion2">
      <go:sheetsCustomData xmlns:go="http://customooxmlschemas.google.com/" r:id="rId1" roundtripDataSignature="AMtx7mj3jodxsWH3uQe0JmDFzxiTqAi1qw=="/>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
ID#AAAB4m3BaFc
    (2026-04-25 19:12:03)
Weighted Average Cost of Capital.
Medida financiera con el proposito de englobar en una sola cifra porcentual el costo de las diferentes fuentes de financiamiento.
Es la tasa que se utiliza para valuar a una empresa</t>
      </text>
    </comment>
  </commentList>
  <extLst>
    <ext uri="GoogleSheetsCustomDataVersion2">
      <go:sheetsCustomData xmlns:go="http://customooxmlschemas.google.com/" r:id="rId1" roundtripDataSignature="AMtx7mg3sLGGxv2dnHvkpNpcrW2MuC2ErA=="/>
    </ext>
  </extL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
ID#AAAB4m3BaGs
    (2026-04-25 19:12:03)
marca el volumen de ventas minimo que debe alcanzar la empresa para continuar la actividad sin afrontar déficits financieros</t>
      </text>
    </comment>
    <comment authorId="0" ref="C13">
      <text>
        <t xml:space="preserve">======
ID#AAAB4m3BaE0
    (2026-04-25 19:12:03)
es aquel nivel de actividad en el que la empresa consigue cubrir la totalidad de sus costos (fijos y variable) obteniendo beneficio igual a cero</t>
      </text>
    </comment>
  </commentList>
  <extLst>
    <ext uri="GoogleSheetsCustomDataVersion2">
      <go:sheetsCustomData xmlns:go="http://customooxmlschemas.google.com/" r:id="rId1" roundtripDataSignature="AMtx7mj1QqR6CzbxlwtppflQyPGUKeaQDw=="/>
    </ext>
  </extL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45">
      <text>
        <t xml:space="preserve">======
ID#AAAB4m3BaEE
    (2026-04-25 19:12:03)
Valor expresado en días</t>
      </text>
    </comment>
    <comment authorId="0" ref="P45">
      <text>
        <t xml:space="preserve">======
ID#AAAB4m3BaFM
    (2026-04-25 19:12:03)
Valor expresado en días</t>
      </text>
    </comment>
    <comment authorId="0" ref="G34">
      <text>
        <t xml:space="preserve">======
ID#AAAB4m3BaGU
    (2026-04-25 19:12:03)
Valor expresado en días</t>
      </text>
    </comment>
    <comment authorId="0" ref="S45">
      <text>
        <t xml:space="preserve">======
ID#AAAB4m3BaEc
    (2026-04-25 19:12:03)
Valor expresado en días</t>
      </text>
    </comment>
    <comment authorId="0" ref="G32">
      <text>
        <t xml:space="preserve">======
ID#AAAB4m3BaEs
    (2026-04-25 19:12:03)
Valor expresado en días</t>
      </text>
    </comment>
    <comment authorId="0" ref="J34">
      <text>
        <t xml:space="preserve">======
ID#AAAB4m3BaFQ
    (2026-04-25 19:12:03)
Valor expresado en días</t>
      </text>
    </comment>
    <comment authorId="0" ref="J32">
      <text>
        <t xml:space="preserve">======
ID#AAAB4m3BaGY
    (2026-04-25 19:12:03)
Valor expresado en días</t>
      </text>
    </comment>
    <comment authorId="0" ref="M34">
      <text>
        <t xml:space="preserve">======
ID#AAAB4m3BaEM
    (2026-04-25 19:12:03)
Valor expresado en días</t>
      </text>
    </comment>
    <comment authorId="0" ref="M32">
      <text>
        <t xml:space="preserve">======
ID#AAAB4m3BaG0
    (2026-04-25 19:12:03)
Valor expresado en días</t>
      </text>
    </comment>
    <comment authorId="0" ref="P34">
      <text>
        <t xml:space="preserve">======
ID#AAAB4m3BaGM
    (2026-04-25 19:12:03)
Valor expresado en días</t>
      </text>
    </comment>
    <comment authorId="0" ref="P32">
      <text>
        <t xml:space="preserve">======
ID#AAAB4m3BaGQ
    (2026-04-25 19:12:03)
Valor expresado en días</t>
      </text>
    </comment>
    <comment authorId="0" ref="S34">
      <text>
        <t xml:space="preserve">======
ID#AAAB4m3BaEI
    (2026-04-25 19:12:03)
Valor expresado en días</t>
      </text>
    </comment>
    <comment authorId="0" ref="S32">
      <text>
        <t xml:space="preserve">======
ID#AAAB4m3BaF0
    (2026-04-25 19:12:03)
Valor expresado en días</t>
      </text>
    </comment>
    <comment authorId="0" ref="G45">
      <text>
        <t xml:space="preserve">======
ID#AAAB4m3BaF8
    (2026-04-25 19:12:03)
Valor expresado en días</t>
      </text>
    </comment>
    <comment authorId="0" ref="J45">
      <text>
        <t xml:space="preserve">======
ID#AAAB4m3BaFI
    (2026-04-25 19:12:03)
Valor expresado en días</t>
      </text>
    </comment>
  </commentList>
  <extLst>
    <ext uri="GoogleSheetsCustomDataVersion2">
      <go:sheetsCustomData xmlns:go="http://customooxmlschemas.google.com/" r:id="rId1" roundtripDataSignature="AMtx7mgzNJ3SCBwWVsHwYMF/Va2wEiyMwg=="/>
    </ext>
  </extL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5">
      <text>
        <t xml:space="preserve">======
ID#AAAB4m3BaG4
    (2026-04-25 19:12:03)
(Cuentas a pagar / Costo de venta) * 365
CMV = Costo de mercaderia vendida</t>
      </text>
    </comment>
    <comment authorId="0" ref="C33">
      <text>
        <t xml:space="preserve">======
ID#AAAB4m3BaGA
    (2026-04-25 19:12:03)
mayor a 0,5
Liquidez Absoluta:
indicador de la capacidad de la empresa para cancelar sus obligaciones corrientes (pagos, en el corto plazo), sin contar con la venta de sus existencias.
No hay valores estándares para este ratio.
Prueba ácida = CAJA Y BANCOS / PASIVO EXIGIBLE CIRCULANTE (CORRIENTE)</t>
      </text>
    </comment>
    <comment authorId="0" ref="C32">
      <text>
        <t xml:space="preserve">======
ID#AAAB4m3BaFE
    (2026-04-25 19:12:03)
menor a 1
a mayor Ie, mayor inestabilidad de la estructura financiera</t>
      </text>
    </comment>
    <comment authorId="0" ref="C31">
      <text>
        <t xml:space="preserve">======
ID#AAAB4m3BaGI
    (2026-04-25 19:12:03)
Debe ser aproximadamente 1</t>
      </text>
    </comment>
    <comment authorId="0" ref="D31">
      <text>
        <t xml:space="preserve">======
ID#AAAB4m3BaEo
    (2026-04-25 19:12:03)
No hay deuda a corto plazo en el primer año</t>
      </text>
    </comment>
    <comment authorId="0" ref="C30">
      <text>
        <t xml:space="preserve">======
ID#AAAB4m3BaD8
    (2026-04-25 19:12:03)
mayor a 1, ideal entre 1,5 y 2
cuanto mayor es el Ist, menos comprometida es la situación de la empresa</t>
      </text>
    </comment>
    <comment authorId="0" ref="D30">
      <text>
        <t xml:space="preserve">======
ID#AAAB4m3BaFo
    (2026-04-25 19:12:03)
No hay deuda a corto plazo en el primer año</t>
      </text>
    </comment>
    <comment authorId="0" ref="C21">
      <text>
        <t xml:space="preserve">======
ID#AAAB4m3BaF4
    (2026-04-25 19:12:03)
= utilidad antes de imp/ventas totales
El apalancamiento es la relación entre crédito y capital propio invertido en una operación financiera. A mayor crédito, mayor apalancamiento y menor inversión de capital propio. 
disminuye = empeora</t>
      </text>
    </comment>
    <comment authorId="0" ref="C20">
      <text>
        <t xml:space="preserve">======
ID#AAAB4m3BaFw
Rentabilidad económica del Activo    (2026-04-25 19:12:03)
Mide la tasa de devolución producida por un beneficio económico respecto al capital total y el patrimonio neto
utilidades antes de impuestos / activo total
disminuye = empeora</t>
      </text>
    </comment>
    <comment authorId="0" ref="C19">
      <text>
        <t xml:space="preserve">======
ID#AAAB4m3BaFk
    (2026-04-25 19:12:03)
Rentabilidad del Patrimonio Neto Promedio
utilidad despues de impuestos / PN promedio
disminuye = empeora</t>
      </text>
    </comment>
    <comment authorId="0" ref="C18">
      <text>
        <t xml:space="preserve">======
ID#AAAB4m3BaFU
    (2026-04-25 19:12:03)
ROE/ROA
El efecto palanca expresa la conveniencia de utilizar capital ajeno.
Cuando el cociente resulta menor que 1, se ha producido un efecto palanca negativo
disminuye = empeora</t>
      </text>
    </comment>
    <comment authorId="0" ref="C17">
      <text>
        <t xml:space="preserve">======
ID#AAAB4m3BaGw
    (2026-04-25 19:12:03)
ventas / PN
disminuir = empeorar</t>
      </text>
    </comment>
    <comment authorId="0" ref="C16">
      <text>
        <t xml:space="preserve">======
ID#AAAB4m3BaGg
    (2026-04-25 19:12:03)
ventas / activo total</t>
      </text>
    </comment>
    <comment authorId="0" ref="C13">
      <text>
        <t xml:space="preserve">======
ID#AAAB4m3BaEw
    (2026-04-25 19:12:03)
Refleja las veces que se ha utilizado el activo corriente en la obtención de ingresos.
ROT act corr = Ventas / Activo corriente
disminuye = empeora</t>
      </text>
    </comment>
    <comment authorId="0" ref="C12">
      <text>
        <t xml:space="preserve">======
ID#AAAB4m3BaFg
    (2026-04-25 19:12:03)
resultado ejercicio / ventas
disminuye = empeora</t>
      </text>
    </comment>
  </commentList>
  <extLst>
    <ext uri="GoogleSheetsCustomDataVersion2">
      <go:sheetsCustomData xmlns:go="http://customooxmlschemas.google.com/" r:id="rId1" roundtripDataSignature="AMtx7mhKVg1q0MLn12E5/4InPy75JbgGVw=="/>
    </ext>
  </extL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
ID#AAAB4m3BaEg
    (2026-04-25 19:12:03)
Saldo Anual del Flujo de caja</t>
      </text>
    </comment>
    <comment authorId="0" ref="C4">
      <text>
        <t xml:space="preserve">======
ID#AAAB4m3BaGk
    (2026-04-25 19:12:03)
Tasa de oportunidad de inversores</t>
      </text>
    </comment>
  </commentList>
  <extLst>
    <ext uri="GoogleSheetsCustomDataVersion2">
      <go:sheetsCustomData xmlns:go="http://customooxmlschemas.google.com/" r:id="rId1" roundtripDataSignature="AMtx7miymwfoCYVtwsDM9e7XAR5Lmi9vNg=="/>
    </ext>
  </extLst>
</comments>
</file>

<file path=xl/sharedStrings.xml><?xml version="1.0" encoding="utf-8"?>
<sst xmlns="http://schemas.openxmlformats.org/spreadsheetml/2006/main" count="732" uniqueCount="458">
  <si>
    <t>UDB LEGISLACIÓN Y ECONOMÍA</t>
  </si>
  <si>
    <t xml:space="preserve">    Economía</t>
  </si>
  <si>
    <t xml:space="preserve">Plan de Negocios </t>
  </si>
  <si>
    <t>Legajo</t>
  </si>
  <si>
    <t>Apellido</t>
  </si>
  <si>
    <t>Nombres</t>
  </si>
  <si>
    <t xml:space="preserve"> </t>
  </si>
  <si>
    <t>222789-7</t>
  </si>
  <si>
    <t>Volders</t>
  </si>
  <si>
    <t>Matias</t>
  </si>
  <si>
    <t>166298-3</t>
  </si>
  <si>
    <t>Sanchez</t>
  </si>
  <si>
    <t>Agustín</t>
  </si>
  <si>
    <t>228583-6</t>
  </si>
  <si>
    <t>Pedroza</t>
  </si>
  <si>
    <t>Maria</t>
  </si>
  <si>
    <t>159106-0</t>
  </si>
  <si>
    <t>Abram Lujan</t>
  </si>
  <si>
    <t>Nicolas</t>
  </si>
  <si>
    <t>152222-0</t>
  </si>
  <si>
    <t>Paco Olmedo</t>
  </si>
  <si>
    <t>Jhon Daniel</t>
  </si>
  <si>
    <t>204532-1</t>
  </si>
  <si>
    <t>Pugliese</t>
  </si>
  <si>
    <t>Lautaro</t>
  </si>
  <si>
    <t>Grupo N°</t>
  </si>
  <si>
    <t>Docente</t>
  </si>
  <si>
    <t>Tomás Ignacio Cocconi</t>
  </si>
  <si>
    <t>Aux Docente</t>
  </si>
  <si>
    <t>Mía Zambrana</t>
  </si>
  <si>
    <t>Curso</t>
  </si>
  <si>
    <t>Z3051</t>
  </si>
  <si>
    <t>Año</t>
  </si>
  <si>
    <t>Consideraciones Generales</t>
  </si>
  <si>
    <t>Tasa Bancaria Activa</t>
  </si>
  <si>
    <t>Es la tasa que cobra el banco por prestar dinero</t>
  </si>
  <si>
    <t>Tasa Bancaria Pasiva</t>
  </si>
  <si>
    <t>Es la tasa que paga el banco por aceptar depositos</t>
  </si>
  <si>
    <t>Tasa de oportunidad de los socios</t>
  </si>
  <si>
    <t>Es lo que quieren ganar los socios.</t>
  </si>
  <si>
    <t>Dias por mes Fabricación</t>
  </si>
  <si>
    <t>Dias por mes Administración</t>
  </si>
  <si>
    <t>Meses por año</t>
  </si>
  <si>
    <t>Dias del año</t>
  </si>
  <si>
    <t>Horas laborables diarias FAB</t>
  </si>
  <si>
    <t>Horas laborables diarias ADM</t>
  </si>
  <si>
    <t>Inflación anual</t>
  </si>
  <si>
    <t>Impuesto a los Ingresos Brutos</t>
  </si>
  <si>
    <t>IVA</t>
  </si>
  <si>
    <t>Impuesto a las Ganancias</t>
  </si>
  <si>
    <t>Cargas Sociales</t>
  </si>
  <si>
    <t>Celdas con Formulas no editables</t>
  </si>
  <si>
    <t>Celdas editables</t>
  </si>
  <si>
    <t>Mercado</t>
  </si>
  <si>
    <t>Nombre del Mercado Potencial (1)</t>
  </si>
  <si>
    <t>Mercado Potencial (Q)</t>
  </si>
  <si>
    <t>Mercado Meta (2)           (%)</t>
  </si>
  <si>
    <t>Mercado Meta (Q)</t>
  </si>
  <si>
    <t>Ventas destinadas al mercado Mayorista          (%)</t>
  </si>
  <si>
    <t>Ventas destinadas al mercado Minorista          (%)</t>
  </si>
  <si>
    <t>Total (%)</t>
  </si>
  <si>
    <t>Compradores de termos</t>
  </si>
  <si>
    <t>Mix de Productos</t>
  </si>
  <si>
    <t>Nombre del Producto</t>
  </si>
  <si>
    <t>Cantidad Vendida</t>
  </si>
  <si>
    <t>Precio de Venta Minorista</t>
  </si>
  <si>
    <t>Precio de Venta Mayorista</t>
  </si>
  <si>
    <t>% Participación por producto</t>
  </si>
  <si>
    <t>Termo electronico modelo 1</t>
  </si>
  <si>
    <t>Estos valores lo pueden editar</t>
  </si>
  <si>
    <t>-</t>
  </si>
  <si>
    <t>Calcular promedio ponderado de precios</t>
  </si>
  <si>
    <t>Vida Util</t>
  </si>
  <si>
    <t>MIX de Precios</t>
  </si>
  <si>
    <t>Crecimiento del mercado acumulado</t>
  </si>
  <si>
    <t>Cantidad Vendida acumulado</t>
  </si>
  <si>
    <t>Capacidad instalada acumulada</t>
  </si>
  <si>
    <t>Definiciones Básicas</t>
  </si>
  <si>
    <t>(1) Mercado potencial: Es el mercado donde se encuentra instalado nuestro producto o servicio</t>
  </si>
  <si>
    <t>(2) Mercado meta: es parte del mercado potencial o disponible que la empresa decide captar</t>
  </si>
  <si>
    <t>Amortización Muebles y Utiles</t>
  </si>
  <si>
    <t>Detalle de las muebles y útiles</t>
  </si>
  <si>
    <t>Valor inicial</t>
  </si>
  <si>
    <t>Vida Util : 10 Años</t>
  </si>
  <si>
    <t>Cantidad</t>
  </si>
  <si>
    <t>Tipo de mueble</t>
  </si>
  <si>
    <r>
      <rPr>
        <rFont val="Calibri"/>
        <color theme="1"/>
        <sz val="10.0"/>
      </rPr>
      <t xml:space="preserve">Valor </t>
    </r>
    <r>
      <rPr>
        <rFont val="Calibri"/>
        <b/>
        <color theme="1"/>
        <sz val="10.0"/>
      </rPr>
      <t>unitario</t>
    </r>
    <r>
      <rPr>
        <rFont val="Calibri"/>
        <color theme="1"/>
        <sz val="10.0"/>
      </rPr>
      <t xml:space="preserve"> incial</t>
    </r>
  </si>
  <si>
    <r>
      <rPr>
        <rFont val="Calibri"/>
        <color theme="1"/>
        <sz val="10.0"/>
      </rPr>
      <t xml:space="preserve">Valor </t>
    </r>
    <r>
      <rPr>
        <rFont val="Calibri"/>
        <b/>
        <color theme="1"/>
        <sz val="10.0"/>
      </rPr>
      <t xml:space="preserve">unitario </t>
    </r>
    <r>
      <rPr>
        <rFont val="Calibri"/>
        <color theme="1"/>
        <sz val="10.0"/>
      </rPr>
      <t>final</t>
    </r>
  </si>
  <si>
    <t>Valor inicial Total</t>
  </si>
  <si>
    <t>Valor final Total</t>
  </si>
  <si>
    <t>Valor Final</t>
  </si>
  <si>
    <t>Cant de cuotas</t>
  </si>
  <si>
    <t>Escritorios</t>
  </si>
  <si>
    <t>https://www.easy.com.ar/escritorio-79x135x44-5cm-mdf-y-polipropileno-negro-y-natural-minimalista-midtown-1/p</t>
  </si>
  <si>
    <t>Valor amortizable</t>
  </si>
  <si>
    <t>Sillas de oficina</t>
  </si>
  <si>
    <t>https://www.easy.com.ar/sillon-barkley-decototale-mesh-negro/p</t>
  </si>
  <si>
    <t>Creciente</t>
  </si>
  <si>
    <t>Mesa de trabajo técnico CAD</t>
  </si>
  <si>
    <t>https://www.mercadolibre.com.ar/mesa-dibujo-tecnico-plantec-tablero-paralelabandeja-80x120/up/MLAU303784928?pdp_filters=item_id%3AMLA900269616&amp;matt_tool=89488245#origin=share&amp;sid=share&amp;wid=MLA900269616&amp;action=copy</t>
  </si>
  <si>
    <t>Decreciente</t>
  </si>
  <si>
    <t>Cuota Número</t>
  </si>
  <si>
    <t>Valor Amortizable</t>
  </si>
  <si>
    <t>Valor Cuota</t>
  </si>
  <si>
    <t>Valor Residual por Cuota</t>
  </si>
  <si>
    <t>Mesa de reuniones / Directorio</t>
  </si>
  <si>
    <t>https://allianiweb.com.ar/product/mesa-linea-aria-oval/</t>
  </si>
  <si>
    <t>Lineal</t>
  </si>
  <si>
    <t xml:space="preserve">Archiveros de oficina </t>
  </si>
  <si>
    <t>https://www.mercadolibre.com.ar/mueble-archivo-fichero-para-oficina-2-cajones-metal/up/MLAU3564689807?pdp_filters=item_id%3AMLA1585528059&amp;matt_tool=89488245#origin=share&amp;sid=share&amp;wid=MLA1585528059&amp;action=copy</t>
  </si>
  <si>
    <t>DEFINIR SISTEMA</t>
  </si>
  <si>
    <t>Mesas para comedor / breakroom</t>
  </si>
  <si>
    <t>https://www.easy.com.ar/mesa-de-comedor-bahia-140x80x75-cm-melamina-blanco-dakot/p</t>
  </si>
  <si>
    <t>Amortización Edificio</t>
  </si>
  <si>
    <t>Vida Util : 33 Años</t>
  </si>
  <si>
    <t>Suma Cuotas</t>
  </si>
  <si>
    <t xml:space="preserve">Amortización </t>
  </si>
  <si>
    <t>Amortización Rodados</t>
  </si>
  <si>
    <t>Detalle de los rodados</t>
  </si>
  <si>
    <t>Vida Util : 5 Años</t>
  </si>
  <si>
    <t>Tipo de rodado</t>
  </si>
  <si>
    <r>
      <rPr>
        <rFont val="Calibri"/>
        <color theme="1"/>
        <sz val="10.0"/>
      </rPr>
      <t xml:space="preserve">Valor </t>
    </r>
    <r>
      <rPr>
        <rFont val="Calibri"/>
        <b/>
        <color theme="1"/>
        <sz val="10.0"/>
      </rPr>
      <t>unitario</t>
    </r>
    <r>
      <rPr>
        <rFont val="Calibri"/>
        <color theme="1"/>
        <sz val="10.0"/>
      </rPr>
      <t xml:space="preserve"> incial</t>
    </r>
  </si>
  <si>
    <r>
      <rPr>
        <rFont val="Calibri"/>
        <color theme="1"/>
        <sz val="10.0"/>
      </rPr>
      <t xml:space="preserve">Valor </t>
    </r>
    <r>
      <rPr>
        <rFont val="Calibri"/>
        <b/>
        <color theme="1"/>
        <sz val="10.0"/>
      </rPr>
      <t xml:space="preserve">unitario </t>
    </r>
    <r>
      <rPr>
        <rFont val="Calibri"/>
        <color theme="1"/>
        <sz val="10.0"/>
      </rPr>
      <t>final</t>
    </r>
  </si>
  <si>
    <t>Definir Sistema</t>
  </si>
  <si>
    <t>Amortización Desarrollos</t>
  </si>
  <si>
    <t>Detalle desarrollos de Software</t>
  </si>
  <si>
    <t>Vida Util : 3 Años</t>
  </si>
  <si>
    <r>
      <rPr>
        <rFont val="Calibri"/>
        <color theme="1"/>
        <sz val="10.0"/>
      </rPr>
      <t xml:space="preserve">Valor </t>
    </r>
    <r>
      <rPr>
        <rFont val="Calibri"/>
        <b/>
        <color theme="1"/>
        <sz val="10.0"/>
      </rPr>
      <t>unitario</t>
    </r>
    <r>
      <rPr>
        <rFont val="Calibri"/>
        <color theme="1"/>
        <sz val="10.0"/>
      </rPr>
      <t xml:space="preserve"> incial</t>
    </r>
  </si>
  <si>
    <r>
      <rPr>
        <rFont val="Calibri"/>
        <color theme="1"/>
        <sz val="10.0"/>
      </rPr>
      <t xml:space="preserve">Valor </t>
    </r>
    <r>
      <rPr>
        <rFont val="Calibri"/>
        <b/>
        <color theme="1"/>
        <sz val="10.0"/>
      </rPr>
      <t xml:space="preserve">unitario </t>
    </r>
    <r>
      <rPr>
        <rFont val="Calibri"/>
        <color theme="1"/>
        <sz val="10.0"/>
      </rPr>
      <t>final</t>
    </r>
  </si>
  <si>
    <t>esp32 para simulacion de firmware de termo</t>
  </si>
  <si>
    <t>Desarrollo de Firmware/Código del Termo</t>
  </si>
  <si>
    <t>Licencias de programas de modelado</t>
  </si>
  <si>
    <t>Amortización Informática</t>
  </si>
  <si>
    <t>Detalle de los equipos informáticos</t>
  </si>
  <si>
    <r>
      <rPr>
        <rFont val="Calibri"/>
        <color theme="1"/>
        <sz val="10.0"/>
      </rPr>
      <t xml:space="preserve">Valor </t>
    </r>
    <r>
      <rPr>
        <rFont val="Calibri"/>
        <b/>
        <color theme="1"/>
        <sz val="10.0"/>
      </rPr>
      <t>unitario</t>
    </r>
    <r>
      <rPr>
        <rFont val="Calibri"/>
        <color theme="1"/>
        <sz val="10.0"/>
      </rPr>
      <t xml:space="preserve"> incial</t>
    </r>
  </si>
  <si>
    <r>
      <rPr>
        <rFont val="Calibri"/>
        <color theme="1"/>
        <sz val="10.0"/>
      </rPr>
      <t xml:space="preserve">Valor </t>
    </r>
    <r>
      <rPr>
        <rFont val="Calibri"/>
        <b/>
        <color theme="1"/>
        <sz val="10.0"/>
      </rPr>
      <t xml:space="preserve">unitario </t>
    </r>
    <r>
      <rPr>
        <rFont val="Calibri"/>
        <color theme="1"/>
        <sz val="10.0"/>
      </rPr>
      <t>final</t>
    </r>
  </si>
  <si>
    <t>Notebook Gama Media i7</t>
  </si>
  <si>
    <t>Impresora láser Epson</t>
  </si>
  <si>
    <t>Samsung A50</t>
  </si>
  <si>
    <t>PCs de Escritorio para Ingeniería para simulaciones</t>
  </si>
  <si>
    <t>placas de video nvidia para Software de simulacion</t>
  </si>
  <si>
    <t>Amortización Máquinas</t>
  </si>
  <si>
    <t>Detalle de las máquinarias, herramientas, instrumental</t>
  </si>
  <si>
    <r>
      <rPr>
        <rFont val="Calibri"/>
        <color theme="1"/>
        <sz val="10.0"/>
      </rPr>
      <t xml:space="preserve">Valor </t>
    </r>
    <r>
      <rPr>
        <rFont val="Calibri"/>
        <b/>
        <color theme="1"/>
        <sz val="10.0"/>
      </rPr>
      <t>unitario</t>
    </r>
    <r>
      <rPr>
        <rFont val="Calibri"/>
        <color theme="1"/>
        <sz val="10.0"/>
      </rPr>
      <t xml:space="preserve"> incial</t>
    </r>
  </si>
  <si>
    <r>
      <rPr>
        <rFont val="Calibri"/>
        <color theme="1"/>
        <sz val="10.0"/>
      </rPr>
      <t xml:space="preserve">Valor </t>
    </r>
    <r>
      <rPr>
        <rFont val="Calibri"/>
        <b/>
        <color theme="1"/>
        <sz val="10.0"/>
      </rPr>
      <t xml:space="preserve">unitario </t>
    </r>
    <r>
      <rPr>
        <rFont val="Calibri"/>
        <color theme="1"/>
        <sz val="10.0"/>
      </rPr>
      <t>final</t>
    </r>
  </si>
  <si>
    <t>Horno de curado eléctrico industrial</t>
  </si>
  <si>
    <t>Equipo de pintura electrostática</t>
  </si>
  <si>
    <t>Compresor de aire industrial 50L</t>
  </si>
  <si>
    <t>Banco de prueba de estanqueidad</t>
  </si>
  <si>
    <t>Estaciones de soldado profesional SMD</t>
  </si>
  <si>
    <t>Multímetro digital automático de banco</t>
  </si>
  <si>
    <t>Cámara termográfica para control NTC</t>
  </si>
  <si>
    <t>Costo Variables Fabricación</t>
  </si>
  <si>
    <t>Mano de Obra Directa</t>
  </si>
  <si>
    <t>Materia Prima (Unidad de medida de compra)</t>
  </si>
  <si>
    <t>Puesto</t>
  </si>
  <si>
    <t>Sueldo Mesual Bruto</t>
  </si>
  <si>
    <t>Cantidad de personal</t>
  </si>
  <si>
    <t>Total</t>
  </si>
  <si>
    <t>Detalle Materia Prima</t>
  </si>
  <si>
    <t>Precio</t>
  </si>
  <si>
    <t>Unidad de medida</t>
  </si>
  <si>
    <t>Operario de ensamblado</t>
  </si>
  <si>
    <t>Cuerpo Acero Inox 18/8 (Doble capa)</t>
  </si>
  <si>
    <t>Unidad</t>
  </si>
  <si>
    <t>Operarios de estación de soldado (electrónica)</t>
  </si>
  <si>
    <t>Placa electrónica PCB USB-C + Sensores</t>
  </si>
  <si>
    <t>Resistencia calefactora (Thin-Film)</t>
  </si>
  <si>
    <t>Tapón cebador polímero + Juntas</t>
  </si>
  <si>
    <t>Packaging premium alto impacto</t>
  </si>
  <si>
    <t>Cable USB-C de Alta Performance (5A / 100W)</t>
  </si>
  <si>
    <t>Módulo BMS / Regulador de potencia</t>
  </si>
  <si>
    <t>Pintura electrostática y consumibles</t>
  </si>
  <si>
    <t>Pack Celdas de Litio de Alta Descarga (3x 21700)</t>
  </si>
  <si>
    <t>Total Mensual</t>
  </si>
  <si>
    <t>Total Sueldo Fabril Anual</t>
  </si>
  <si>
    <t>Materia Prima por Producto</t>
  </si>
  <si>
    <t>Consumo x unidad</t>
  </si>
  <si>
    <t>Costo</t>
  </si>
  <si>
    <t>Total Aguinaldo Anual</t>
  </si>
  <si>
    <t>Total de cargas sociales del empleador</t>
  </si>
  <si>
    <t>Calculo de Viaticos y refrigerio:</t>
  </si>
  <si>
    <t>Costo Viatico y refrigerio x persona y por día</t>
  </si>
  <si>
    <t>Personas</t>
  </si>
  <si>
    <t>Operarios</t>
  </si>
  <si>
    <t>Costo unitario Materia Prima</t>
  </si>
  <si>
    <t>$ /Unidad</t>
  </si>
  <si>
    <t>Dias por mes</t>
  </si>
  <si>
    <t>Días / Mes</t>
  </si>
  <si>
    <t>Producción Terminada</t>
  </si>
  <si>
    <t>Unidades</t>
  </si>
  <si>
    <t>Meses / Año</t>
  </si>
  <si>
    <t>Costo Total Materia Prima</t>
  </si>
  <si>
    <t>Total Anual Viaticos y refrigerios</t>
  </si>
  <si>
    <t>Costo Variable Total de Fabricación</t>
  </si>
  <si>
    <t>COSTO TOTAL MANO DE OBRA DIRECTA</t>
  </si>
  <si>
    <t>Costo Variable Unitario de Fabricación</t>
  </si>
  <si>
    <t>COSTO UNITARIO MANO DE OBRA DIRECTA</t>
  </si>
  <si>
    <t>$ / Unidad</t>
  </si>
  <si>
    <t>Incidencia del costo sobre el precio de venta</t>
  </si>
  <si>
    <t>Costo Fijos Fabricación</t>
  </si>
  <si>
    <t>Mano de Obra Indirecta</t>
  </si>
  <si>
    <t>Consumo Energetico fabril</t>
  </si>
  <si>
    <t>Horas laborables diarias</t>
  </si>
  <si>
    <t>Tipo de energia utilizada</t>
  </si>
  <si>
    <t>Electricidad</t>
  </si>
  <si>
    <t>Supervisor de Planta</t>
  </si>
  <si>
    <t>Gas</t>
  </si>
  <si>
    <t>Cantidad de máquinas eléctricas</t>
  </si>
  <si>
    <t>Cantidad de máquinas a Gas</t>
  </si>
  <si>
    <t>Ambos</t>
  </si>
  <si>
    <t>Ninguno</t>
  </si>
  <si>
    <t>$ (KW HORA x Maquina)</t>
  </si>
  <si>
    <t>Consumo KW x hora x Maquina</t>
  </si>
  <si>
    <t>$ (M3 HORA x Maquina)</t>
  </si>
  <si>
    <t>Consumo M3 x hora x Máquina</t>
  </si>
  <si>
    <t>Consumo total energía eléctrica (anual)</t>
  </si>
  <si>
    <t>Consumo total gas (anual)</t>
  </si>
  <si>
    <t>Consumo de Energia Total Anual:</t>
  </si>
  <si>
    <t>Otros Gastos de Fabricación</t>
  </si>
  <si>
    <t>Detalle</t>
  </si>
  <si>
    <t>Licencias office 365</t>
  </si>
  <si>
    <t>$ / Año</t>
  </si>
  <si>
    <t>Costo Total Mano de Obra indirecta</t>
  </si>
  <si>
    <t>Alquiler de la planta</t>
  </si>
  <si>
    <t>ANUAL</t>
  </si>
  <si>
    <t>Gastos Fabricación Fijos</t>
  </si>
  <si>
    <t>Gastos Comercialización</t>
  </si>
  <si>
    <t>Gastos Comercialización Fijos</t>
  </si>
  <si>
    <t>Gastos Comercialización Variables</t>
  </si>
  <si>
    <t>Sueldo Mensual Bruto</t>
  </si>
  <si>
    <t>Local</t>
  </si>
  <si>
    <t>Coordinador de Growth Marketing y ventas B2B</t>
  </si>
  <si>
    <t>Viajante</t>
  </si>
  <si>
    <t>Gastos Comerciales</t>
  </si>
  <si>
    <t>Año 1</t>
  </si>
  <si>
    <t>Ingresos Brutos</t>
  </si>
  <si>
    <t>Comisión Vendedor</t>
  </si>
  <si>
    <t>Variables Unitarios</t>
  </si>
  <si>
    <t>Precio al publico</t>
  </si>
  <si>
    <t>Total Sueldo Comercial Anual</t>
  </si>
  <si>
    <t>Precio x mayor</t>
  </si>
  <si>
    <t>Precio Promedio Ponderado (PPP)</t>
  </si>
  <si>
    <t>Año 2</t>
  </si>
  <si>
    <t>Costo Viatico y refrigerio x persona y día</t>
  </si>
  <si>
    <t>Días por mes</t>
  </si>
  <si>
    <t>Año 3</t>
  </si>
  <si>
    <t>Total Anual Viatico y refrigerios</t>
  </si>
  <si>
    <t>Total Sueldo comercial</t>
  </si>
  <si>
    <t>Año 4</t>
  </si>
  <si>
    <t>Consumo energetico area comercial</t>
  </si>
  <si>
    <t>Cantidad de locales comerciales</t>
  </si>
  <si>
    <t>KW por local</t>
  </si>
  <si>
    <t>Costo KWHR</t>
  </si>
  <si>
    <t>Año 5</t>
  </si>
  <si>
    <t>Sueldo Mensual</t>
  </si>
  <si>
    <t>N/A</t>
  </si>
  <si>
    <t>Total Sueldo Transporte</t>
  </si>
  <si>
    <t>Otros Gastos Comerciales</t>
  </si>
  <si>
    <t>Inversión Fija en Branding y Contenido</t>
  </si>
  <si>
    <t>Alquiler y Mantenimiento del Área de Almacenamiento</t>
  </si>
  <si>
    <t>Gasto de Combustible y Mantenimiento Annual</t>
  </si>
  <si>
    <t>Total transporte</t>
  </si>
  <si>
    <t>Gastos Administrativos Fijos</t>
  </si>
  <si>
    <t>Administrador General / Socio Administrador</t>
  </si>
  <si>
    <t>Total Sueldo Adm. Anual</t>
  </si>
  <si>
    <t>Total Sueldo administrativo</t>
  </si>
  <si>
    <t>Otros gastos administrativos</t>
  </si>
  <si>
    <t>Activo no Corriente o Activo Fijo</t>
  </si>
  <si>
    <t>Valores Inciales y Residuales</t>
  </si>
  <si>
    <t>Año 0</t>
  </si>
  <si>
    <t>Edificio</t>
  </si>
  <si>
    <t>Muebles y utiles</t>
  </si>
  <si>
    <t>Rodados</t>
  </si>
  <si>
    <t>Informática</t>
  </si>
  <si>
    <t>Desarrollo de firmware</t>
  </si>
  <si>
    <t>Máquinas</t>
  </si>
  <si>
    <t>Inversión Activo Fijo</t>
  </si>
  <si>
    <t>IVA Crédito Fiscal</t>
  </si>
  <si>
    <t>Cuotas</t>
  </si>
  <si>
    <t>Informática Desarrollos</t>
  </si>
  <si>
    <t>AMORTIZACIÓN</t>
  </si>
  <si>
    <t>Inversiones en Capital de Trabajo</t>
  </si>
  <si>
    <t>Disponibilidades mínimas en caja y Bancos</t>
  </si>
  <si>
    <t>Sueldo de tres meses</t>
  </si>
  <si>
    <t>Stock de Materias primas</t>
  </si>
  <si>
    <t>Materia Prima por 3 meses</t>
  </si>
  <si>
    <t>Iva Activo de Trabajo</t>
  </si>
  <si>
    <t>Iva Activo Fijo</t>
  </si>
  <si>
    <t>Total Activo de Trabajo sin IVA</t>
  </si>
  <si>
    <t>Activo de Trabajo</t>
  </si>
  <si>
    <t>Disponibilidades mínimas caja y bancos</t>
  </si>
  <si>
    <t>Crédito x ventas</t>
  </si>
  <si>
    <t>Bienes de Cambio</t>
  </si>
  <si>
    <t>Activo Corriente</t>
  </si>
  <si>
    <t>Deudas con proveedores</t>
  </si>
  <si>
    <t>Deudas bancarias corto plazo</t>
  </si>
  <si>
    <t>Deudas Impositivas</t>
  </si>
  <si>
    <t>Pasivo Corriente</t>
  </si>
  <si>
    <t>Capital de Trabajo</t>
  </si>
  <si>
    <t>Variación</t>
  </si>
  <si>
    <t>Fuentes y Usos</t>
  </si>
  <si>
    <t>USOS</t>
  </si>
  <si>
    <t>Importe</t>
  </si>
  <si>
    <t>FUENTES</t>
  </si>
  <si>
    <t>Ponderación de las fuentes</t>
  </si>
  <si>
    <t>Préstamo</t>
  </si>
  <si>
    <t>Activo no Corriente</t>
  </si>
  <si>
    <t>Capital Social</t>
  </si>
  <si>
    <t>Crédito Fiscal</t>
  </si>
  <si>
    <t>Total Usos</t>
  </si>
  <si>
    <t>Fuentes</t>
  </si>
  <si>
    <t>Tasa Bancaria (Kd) Activa</t>
  </si>
  <si>
    <t>Tasa de impuesto a las ganancias</t>
  </si>
  <si>
    <t>Tasa de dividendos de los socios (Ke)</t>
  </si>
  <si>
    <t>CALCULAR LA TASA DE COSTO DE CAPITAL PROMEDIO (WACC)</t>
  </si>
  <si>
    <t>WACC =</t>
  </si>
  <si>
    <t>CALCULO</t>
  </si>
  <si>
    <t>Ke= 35%</t>
  </si>
  <si>
    <t>Kd= 26%</t>
  </si>
  <si>
    <t>T= 35%</t>
  </si>
  <si>
    <t>Wacc=</t>
  </si>
  <si>
    <t>Datos</t>
  </si>
  <si>
    <t>COSTO FIJO</t>
  </si>
  <si>
    <t>COSTO FABRICACIÓN VARIABLE UNITARIO</t>
  </si>
  <si>
    <t>COSTO FIJO EROGABLE</t>
  </si>
  <si>
    <t>COSTO COMERCIAL VARIABLE UNITARIO</t>
  </si>
  <si>
    <t>COSTO FIJO NO EROGABLE</t>
  </si>
  <si>
    <t>PRECIO DE VENTA</t>
  </si>
  <si>
    <t>Punto de Equilibrio Económico</t>
  </si>
  <si>
    <t>B: Beneficio</t>
  </si>
  <si>
    <t>I:Ingreso</t>
  </si>
  <si>
    <t>E:Egreso</t>
  </si>
  <si>
    <t>Pu: Precio unitario de ventas</t>
  </si>
  <si>
    <t xml:space="preserve">Punto de equilibrio Economico:
</t>
  </si>
  <si>
    <t>CVu:Costo fabricacion variable + costo comercial variable</t>
  </si>
  <si>
    <t>CF: Costo fijo erogable + No erogable</t>
  </si>
  <si>
    <t>Qo: Cantidad para el punt ode equilibrio</t>
  </si>
  <si>
    <t xml:space="preserve">El punto de equilibrio económico es de 1275 unidades, por lo que deberán venderse como mínimo 1275 termos anuales para cubrir la totalidad de los costos fijos y variables, </t>
  </si>
  <si>
    <t xml:space="preserve">sin generar pérdidas ni utilidades. La venta proyectada para el primer año es de 1.000 unidades, por lo que no se alcanzará el equilibrio económico durante dicho período. </t>
  </si>
  <si>
    <t>A partir del segundo año, con una proyección de 1.400 unidades, se superará el punto de equilibrio, aunque con un margen de seguridad reducido.</t>
  </si>
  <si>
    <t>Punto de Equilibrio Financiero</t>
  </si>
  <si>
    <t xml:space="preserve">Punto de equilibrio Financiero:
</t>
  </si>
  <si>
    <t>CF: Costo fijo erogable</t>
  </si>
  <si>
    <t xml:space="preserve">El punto de equilibrio financiero es de 1155 unidades, por lo que deberán venderse como mínimo 1155 termos anuales para cubrir los costos que representan salidas efectivas </t>
  </si>
  <si>
    <t xml:space="preserve">de fondos. Durante el primer año, la venta proyectada de 1.000 unidades no será suficiente para alcanzar este nivel. A partir del segundo año, las ventas proyectadas </t>
  </si>
  <si>
    <t>permitirán cubrir los egresos operativos y mantener la liquidez de la empresa.</t>
  </si>
  <si>
    <t>Estado de Resultados Proyectados y Balance Proforma</t>
  </si>
  <si>
    <t>Estado de Resultados Proyectados</t>
  </si>
  <si>
    <t>$ unitario</t>
  </si>
  <si>
    <t>Total Año 1</t>
  </si>
  <si>
    <t>Total Año 2</t>
  </si>
  <si>
    <t>Total Año 3</t>
  </si>
  <si>
    <t>Total Año 4</t>
  </si>
  <si>
    <t>Total Año 5</t>
  </si>
  <si>
    <t>Ingresos por ventas</t>
  </si>
  <si>
    <t>Costo de ventas</t>
  </si>
  <si>
    <t>Costos variables comercialización</t>
  </si>
  <si>
    <t>Contribución Marginal</t>
  </si>
  <si>
    <t>Gastos de fabricación (fijos)</t>
  </si>
  <si>
    <t>Gastos de comercialización (fijos)</t>
  </si>
  <si>
    <t>Gastos administrativos (fijos)</t>
  </si>
  <si>
    <t>Utilidades antes de amortizaciones, honorarios intereses e impuesto a las ganancias (EBITDA)</t>
  </si>
  <si>
    <t>Cuota de amortización</t>
  </si>
  <si>
    <t>Utilidad antes de honorarios, intereses e impuesto a las ganancias</t>
  </si>
  <si>
    <t>Honorarios</t>
  </si>
  <si>
    <t>Utilidad antes de intereses (BAII o EBIT)</t>
  </si>
  <si>
    <t>Intereses perdidos</t>
  </si>
  <si>
    <t>Intereses ganados</t>
  </si>
  <si>
    <t>Resultado antes de impuestos (BAI)</t>
  </si>
  <si>
    <t>Impuesto a las ganancias</t>
  </si>
  <si>
    <t>Resultado neto del ejercicio (BN)</t>
  </si>
  <si>
    <t>Balance General Pro Forma</t>
  </si>
  <si>
    <t>Cajas y bancos</t>
  </si>
  <si>
    <t>Inversiones financieras</t>
  </si>
  <si>
    <t>Cuentas por cobrar</t>
  </si>
  <si>
    <t>Crédito Fiscal IVA</t>
  </si>
  <si>
    <t>Inventarios</t>
  </si>
  <si>
    <t>Activo corriente</t>
  </si>
  <si>
    <t>Bienes de uso</t>
  </si>
  <si>
    <t>Activo No Corriente</t>
  </si>
  <si>
    <t>Total Activo</t>
  </si>
  <si>
    <t>Cuentas por pagar</t>
  </si>
  <si>
    <t>Impuestos por pagar</t>
  </si>
  <si>
    <t>Prestamos Bancarios</t>
  </si>
  <si>
    <t>Utilidades diferidas</t>
  </si>
  <si>
    <t>Pasivo No Corriente</t>
  </si>
  <si>
    <t>Total Pasivo</t>
  </si>
  <si>
    <t>Capital</t>
  </si>
  <si>
    <t>Resultados no asignados</t>
  </si>
  <si>
    <t>Resultados de ejercicio</t>
  </si>
  <si>
    <t>Total Patrimonio Neto</t>
  </si>
  <si>
    <t>Pasivo + Patrimonio Neto</t>
  </si>
  <si>
    <t>Prueba Cero</t>
  </si>
  <si>
    <t>Tasa de dividendos</t>
  </si>
  <si>
    <t>Dividendos</t>
  </si>
  <si>
    <t>Tasa de interés</t>
  </si>
  <si>
    <t>Prestamo</t>
  </si>
  <si>
    <t>Devolución</t>
  </si>
  <si>
    <t>Capital residual</t>
  </si>
  <si>
    <t>Variaciones del flujo de caja (cash flow)</t>
  </si>
  <si>
    <t>Variaciones activo no corriente</t>
  </si>
  <si>
    <t>Variaciones Pasivo no corriente</t>
  </si>
  <si>
    <t>Variaciones Pasivo corriente</t>
  </si>
  <si>
    <t>Variaciones Patrimonio Neto</t>
  </si>
  <si>
    <t>Variaciones Activo corriente</t>
  </si>
  <si>
    <t>Variaciones Créditos</t>
  </si>
  <si>
    <t>Variaciones stocks</t>
  </si>
  <si>
    <t>Variaciones IVA crédito fiscal</t>
  </si>
  <si>
    <t>Variaciones Caja y Bancos</t>
  </si>
  <si>
    <t>Patrimonio Neto Promedio (PNi+PNf)/2</t>
  </si>
  <si>
    <t>Activo Promedio (Ai + Af)/2</t>
  </si>
  <si>
    <t>Mejoró</t>
  </si>
  <si>
    <t>Beneficio Neto + Intereses*(1-T)</t>
  </si>
  <si>
    <t>Empeoró</t>
  </si>
  <si>
    <t>ACTIVO CORRIENTE</t>
  </si>
  <si>
    <t>PASIVO CORRIENTE</t>
  </si>
  <si>
    <t>Se Mantiene</t>
  </si>
  <si>
    <t>Indices Económicos</t>
  </si>
  <si>
    <t>Seleccione</t>
  </si>
  <si>
    <t>Estado</t>
  </si>
  <si>
    <t>MARGEN SOBRE VENTAS (BN/VENTAS)</t>
  </si>
  <si>
    <t>ROTACIÓN DEL ACTIVO CORRIENTE</t>
  </si>
  <si>
    <t>veces/año</t>
  </si>
  <si>
    <t>ROTACIÓN DE CRÉDITOS AL CLIENTE</t>
  </si>
  <si>
    <t>ROTACIÓN DE EXISTENCIAS</t>
  </si>
  <si>
    <t>ROTACIÓN DEL ACTIVO (VENTAS / ACTIVO PROMEDIO)</t>
  </si>
  <si>
    <t>ROTACIÓN DEL PATRIMONIO NETO PROMEDIO</t>
  </si>
  <si>
    <t>EFECTO PALANCA</t>
  </si>
  <si>
    <t>ROE</t>
  </si>
  <si>
    <t>ROA</t>
  </si>
  <si>
    <t>APALANCAMIENTO (ACTIVO PROMEDIO / PATRIMONIO NETO PROM.)</t>
  </si>
  <si>
    <t>Conclusión</t>
  </si>
  <si>
    <t>Indices Financieros</t>
  </si>
  <si>
    <t>INDICE DE SOLVENCIA = AC / PC</t>
  </si>
  <si>
    <t>INDICE DE LIQUIDÉZ (IL)=  (CyB+CREDITO A CLIENTES)/(PC)</t>
  </si>
  <si>
    <t>INDICE DE ENDEUDAMIENTO (IE)=  (DEUDAS TOTALES)/(AT)</t>
  </si>
  <si>
    <t>PRUEBA ACIDA=  (CyB)/(PC)</t>
  </si>
  <si>
    <t>INDICE DE COBRANZAS=  VENTAS/(DOC. A COBRAR ) * 365</t>
  </si>
  <si>
    <t>ÍAS A PROVEEDORES=  (DEUDA A PROV.)/(CMV) * 365</t>
  </si>
  <si>
    <t>Flujo de Caja</t>
  </si>
  <si>
    <t>Tasa VAN</t>
  </si>
  <si>
    <t>AÑO</t>
  </si>
  <si>
    <t>Utilidades</t>
  </si>
  <si>
    <t>Inversion en Activo Fijo</t>
  </si>
  <si>
    <t>Inversion en activo de trabajo</t>
  </si>
  <si>
    <t>Credito Fiscal</t>
  </si>
  <si>
    <t>Amortizacion del Capital Fijo</t>
  </si>
  <si>
    <t>Recuperacion de Credito Fiscal</t>
  </si>
  <si>
    <t>TIR</t>
  </si>
  <si>
    <t>Recupero Activo Fijo</t>
  </si>
  <si>
    <t>Recupero Activo de Trabajo</t>
  </si>
  <si>
    <t>Ingresos  - Egresos</t>
  </si>
  <si>
    <t>(Ing - Egreso) Acumulado</t>
  </si>
  <si>
    <t xml:space="preserve">Período de repago simple = </t>
  </si>
  <si>
    <t>calculo de dias</t>
  </si>
  <si>
    <t>VAN(0%) =</t>
  </si>
  <si>
    <t>TIR =</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</si>
</sst>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2C0A]General"/>
    <numFmt numFmtId="165" formatCode="#,##0&quot; &quot;;&quot;-&quot;#,##0&quot; &quot;"/>
    <numFmt numFmtId="166" formatCode="_ * #,##0_ ;_ * \-#,##0_ ;_ * &quot;-&quot;??_ ;_ @_ "/>
    <numFmt numFmtId="167" formatCode="_ * #,##0.00_ ;_ * \-#,##0.00_ ;_ * &quot;-&quot;??_ ;_ @_ "/>
    <numFmt numFmtId="168" formatCode="_ &quot;$&quot;\ * #,##0.00_ ;_ &quot;$&quot;\ * \-#,##0.00_ ;_ &quot;$&quot;\ * &quot;-&quot;??_ ;_ @_ "/>
    <numFmt numFmtId="169" formatCode="_ * #,##0.000000_ ;_ * \-#,##0.000000_ ;_ * &quot;-&quot;??_ ;_ @_ "/>
    <numFmt numFmtId="170" formatCode="0.0000"/>
    <numFmt numFmtId="171" formatCode="&quot;$&quot;#,##0.00;[Red]\(&quot;$&quot;#,##0.00\)"/>
    <numFmt numFmtId="172" formatCode="\ \$\ #,##0.00\ ;\ \$\ \-#,##0.00\ ;\ \$\ \-#\ "/>
    <numFmt numFmtId="173" formatCode="#,##0\ ;\-#,##0\ "/>
    <numFmt numFmtId="174" formatCode="&quot;$&quot;\ #,##0;[Red]&quot;$&quot;\ \-#,##0"/>
    <numFmt numFmtId="175" formatCode="&quot;$&quot;\ #,##0.00;&quot;$&quot;\ \-#,##0.00"/>
    <numFmt numFmtId="176" formatCode="_-&quot;$&quot;\ * #,##0.00_-;\-&quot;$&quot;\ * #,##0.00_-;_-&quot;$&quot;\ * &quot;-&quot;??_-;_-@"/>
    <numFmt numFmtId="177" formatCode="\$\ #,##0.00;[Red]\$\ \-#,##0.00"/>
    <numFmt numFmtId="178" formatCode="[$$]#,##0.00"/>
    <numFmt numFmtId="179" formatCode="#,##0\ ;[Red]\-#,##0\ "/>
    <numFmt numFmtId="180" formatCode="&quot;$&quot;\ #,##0.00"/>
    <numFmt numFmtId="181" formatCode="_-* #,##0.00_-;\-* #,##0.00_-;_-* &quot;-&quot;??_-;_-@"/>
    <numFmt numFmtId="182" formatCode="00.00"/>
  </numFmts>
  <fonts count="59">
    <font>
      <sz val="10.0"/>
      <color rgb="FF000000"/>
      <name val="Calibri"/>
      <scheme val="minor"/>
    </font>
    <font>
      <b/>
      <i/>
      <sz val="10.0"/>
      <color theme="1"/>
      <name val="Calibri"/>
    </font>
    <font>
      <sz val="10.0"/>
      <color rgb="FF000000"/>
      <name val="Arial"/>
    </font>
    <font>
      <b/>
      <i/>
      <sz val="11.0"/>
      <color theme="1"/>
      <name val="Calibri"/>
    </font>
    <font>
      <b/>
      <i/>
      <sz val="25.0"/>
      <color theme="1"/>
      <name val="Calibri"/>
    </font>
    <font>
      <b/>
      <i/>
      <sz val="26.0"/>
      <color theme="1"/>
      <name val="Calibri"/>
    </font>
    <font>
      <b/>
      <i/>
      <sz val="25.0"/>
      <color rgb="FFFF0000"/>
      <name val="Calibri"/>
    </font>
    <font>
      <b/>
      <i/>
      <sz val="19.0"/>
      <color rgb="FFFF0000"/>
      <name val="Calibri"/>
    </font>
    <font>
      <b/>
      <i/>
      <sz val="19.0"/>
      <color rgb="FFFFFFFF"/>
      <name val="Calibri"/>
    </font>
    <font>
      <b/>
      <i/>
      <u/>
      <sz val="17.0"/>
      <color theme="1"/>
      <name val="Calibri"/>
    </font>
    <font>
      <b/>
      <i/>
      <sz val="17.0"/>
      <color theme="1"/>
      <name val="Calibri"/>
    </font>
    <font>
      <b/>
      <sz val="12.0"/>
      <color theme="1"/>
      <name val="Calibri"/>
    </font>
    <font>
      <b/>
      <i/>
      <sz val="13.0"/>
      <color theme="1"/>
      <name val="Calibri"/>
    </font>
    <font>
      <b/>
      <i/>
      <sz val="12.0"/>
      <color theme="1"/>
      <name val="Calibri"/>
    </font>
    <font>
      <b/>
      <i/>
      <sz val="18.0"/>
      <color theme="1"/>
      <name val="Calibri"/>
    </font>
    <font>
      <sz val="10.0"/>
      <color theme="1"/>
      <name val="Calibri"/>
    </font>
    <font>
      <b/>
      <i/>
      <u/>
      <sz val="14.0"/>
      <color theme="1"/>
      <name val="Calibri"/>
    </font>
    <font>
      <sz val="10.0"/>
      <color rgb="FF000000"/>
      <name val="Calibri"/>
    </font>
    <font/>
    <font>
      <b/>
      <sz val="10.0"/>
      <color theme="1"/>
      <name val="Calibri"/>
    </font>
    <font>
      <b/>
      <sz val="10.0"/>
      <color rgb="FFFF0000"/>
      <name val="Calibri"/>
    </font>
    <font>
      <sz val="10.0"/>
      <color rgb="FFFF0000"/>
      <name val="Calibri"/>
    </font>
    <font>
      <b/>
      <sz val="12.0"/>
      <color rgb="FFFF0000"/>
      <name val="Calibri"/>
    </font>
    <font>
      <b/>
      <i/>
      <u/>
      <sz val="10.0"/>
      <color theme="1"/>
      <name val="Calibri"/>
    </font>
    <font>
      <sz val="10.0"/>
      <color theme="1"/>
      <name val="Arial"/>
    </font>
    <font>
      <sz val="11.0"/>
      <color rgb="FF000000"/>
      <name val="Calibri"/>
    </font>
    <font>
      <b/>
      <u/>
      <sz val="12.0"/>
      <color rgb="FF000000"/>
      <name val="Calibri"/>
    </font>
    <font>
      <i/>
      <u/>
      <sz val="11.0"/>
      <color rgb="FF000000"/>
      <name val="Calibri"/>
    </font>
    <font>
      <b/>
      <u/>
      <sz val="10.0"/>
      <color rgb="FF000000"/>
      <name val="Calibri"/>
    </font>
    <font>
      <sz val="10.0"/>
      <color rgb="FF969696"/>
      <name val="Calibri"/>
    </font>
    <font>
      <u/>
      <color rgb="FF0000FF"/>
    </font>
    <font>
      <u/>
      <color rgb="FF0000FF"/>
    </font>
    <font>
      <b/>
      <sz val="10.0"/>
      <color rgb="FF000000"/>
      <name val="Calibri"/>
    </font>
    <font>
      <b/>
      <u/>
      <sz val="12.0"/>
      <color rgb="FF000000"/>
      <name val="Calibri"/>
    </font>
    <font>
      <i/>
      <u/>
      <sz val="11.0"/>
      <color rgb="FF000000"/>
      <name val="Calibri"/>
    </font>
    <font>
      <b/>
      <u/>
      <sz val="10.0"/>
      <color rgb="FF000000"/>
      <name val="Calibri"/>
    </font>
    <font>
      <b/>
      <u/>
      <sz val="14.0"/>
      <color rgb="FF000000"/>
      <name val="Calibri"/>
    </font>
    <font>
      <sz val="11.0"/>
      <color rgb="FF11A9CC"/>
      <name val="Inconsolata"/>
    </font>
    <font>
      <sz val="10.0"/>
      <color rgb="FFFFFFFF"/>
      <name val="Calibri"/>
    </font>
    <font>
      <sz val="10.0"/>
      <color rgb="FFFFFFFF"/>
      <name val="Arial"/>
    </font>
    <font>
      <b/>
      <sz val="10.0"/>
      <color rgb="FFFF0000"/>
      <name val="Arial"/>
    </font>
    <font>
      <b/>
      <i/>
      <u/>
      <sz val="14.0"/>
      <color rgb="FF000000"/>
      <name val="Calibri"/>
    </font>
    <font>
      <b/>
      <sz val="11.0"/>
      <color rgb="FF000000"/>
      <name val="Calibri"/>
    </font>
    <font>
      <sz val="12.0"/>
      <color rgb="FF000000"/>
      <name val="Calibri"/>
    </font>
    <font>
      <i/>
      <sz val="10.0"/>
      <color rgb="FF000000"/>
      <name val="Calibri"/>
    </font>
    <font>
      <sz val="10.0"/>
      <color rgb="FFA5A5A5"/>
      <name val="Calibri"/>
    </font>
    <font>
      <sz val="9.0"/>
      <color rgb="FF000000"/>
      <name val="Calibri"/>
    </font>
    <font>
      <b/>
      <i/>
      <sz val="10.0"/>
      <color rgb="FF000000"/>
      <name val="Calibri"/>
    </font>
    <font>
      <i/>
      <sz val="10.0"/>
      <color theme="1"/>
      <name val="Calibri"/>
    </font>
    <font>
      <u/>
      <sz val="10.0"/>
      <color rgb="FF000000"/>
      <name val="Calibri"/>
    </font>
    <font>
      <b/>
      <u/>
      <sz val="11.0"/>
      <color rgb="FF000000"/>
      <name val="Calibri"/>
    </font>
    <font>
      <sz val="9.0"/>
      <color rgb="FF7E3794"/>
      <name val="Google Sans"/>
    </font>
    <font>
      <b/>
      <i/>
      <u/>
      <sz val="20.0"/>
      <color theme="1"/>
      <name val="Calibri"/>
    </font>
    <font>
      <sz val="10.0"/>
      <color theme="0"/>
      <name val="Arial"/>
    </font>
    <font>
      <b/>
      <i/>
      <u/>
      <sz val="10.0"/>
      <color rgb="FF000000"/>
      <name val="Arial"/>
    </font>
    <font>
      <b/>
      <u/>
      <sz val="14.0"/>
      <color rgb="FF000000"/>
      <name val="Calibri"/>
    </font>
    <font>
      <sz val="10.0"/>
      <color rgb="FFBFBFBF"/>
      <name val="Arial"/>
    </font>
    <font>
      <b/>
      <sz val="11.0"/>
      <color rgb="FF000000"/>
      <name val="Arial"/>
    </font>
    <font>
      <color theme="1"/>
      <name val="Calibri"/>
      <scheme val="minor"/>
    </font>
  </fonts>
  <fills count="15">
    <fill>
      <patternFill patternType="none"/>
    </fill>
    <fill>
      <patternFill patternType="lightGray"/>
    </fill>
    <fill>
      <patternFill patternType="solid">
        <fgColor rgb="FF969696"/>
        <bgColor rgb="FF969696"/>
      </patternFill>
    </fill>
    <fill>
      <patternFill patternType="solid">
        <fgColor rgb="FFCFE2F3"/>
        <bgColor rgb="FFCFE2F3"/>
      </patternFill>
    </fill>
    <fill>
      <patternFill patternType="solid">
        <fgColor theme="0"/>
        <bgColor theme="0"/>
      </patternFill>
    </fill>
    <fill>
      <patternFill patternType="solid">
        <fgColor rgb="FFD9D9D9"/>
        <bgColor rgb="FFD9D9D9"/>
      </patternFill>
    </fill>
    <fill>
      <patternFill patternType="solid">
        <fgColor rgb="FFC9DAF8"/>
        <bgColor rgb="FFC9DAF8"/>
      </patternFill>
    </fill>
    <fill>
      <patternFill patternType="solid">
        <fgColor rgb="FFFFFF00"/>
        <bgColor rgb="FFFFFF00"/>
      </patternFill>
    </fill>
    <fill>
      <patternFill patternType="solid">
        <fgColor rgb="FFB8CCE4"/>
        <bgColor rgb="FFB8CCE4"/>
      </patternFill>
    </fill>
    <fill>
      <patternFill patternType="solid">
        <fgColor rgb="FFFFFFFF"/>
        <bgColor rgb="FFFFFFFF"/>
      </patternFill>
    </fill>
    <fill>
      <patternFill patternType="solid">
        <fgColor rgb="FFC0C0C0"/>
        <bgColor rgb="FFC0C0C0"/>
      </patternFill>
    </fill>
    <fill>
      <patternFill patternType="solid">
        <fgColor rgb="FFBFBFBF"/>
        <bgColor rgb="FFBFBFBF"/>
      </patternFill>
    </fill>
    <fill>
      <patternFill patternType="solid">
        <fgColor rgb="FFCCCCCC"/>
        <bgColor rgb="FFCCCCCC"/>
      </patternFill>
    </fill>
    <fill>
      <patternFill patternType="solid">
        <fgColor rgb="FFD8D8D8"/>
        <bgColor rgb="FFD8D8D8"/>
      </patternFill>
    </fill>
    <fill>
      <patternFill patternType="solid">
        <fgColor rgb="FF3F3F3F"/>
        <bgColor rgb="FF3F3F3F"/>
      </patternFill>
    </fill>
  </fills>
  <borders count="48">
    <border/>
    <border>
      <left/>
      <right/>
      <top/>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bottom style="thin">
        <color rgb="FF000000"/>
      </bottom>
    </border>
    <border>
      <right/>
      <top style="thin">
        <color rgb="FF000000"/>
      </top>
      <bottom style="thin">
        <color rgb="FF000000"/>
      </bottom>
    </border>
    <border>
      <left style="thin">
        <color rgb="FF000000"/>
      </left>
      <right/>
      <top/>
      <bottom style="thin">
        <color rgb="FF000000"/>
      </bottom>
    </border>
    <border>
      <left style="thin">
        <color rgb="FF000000"/>
      </left>
      <bottom style="thin">
        <color rgb="FF000000"/>
      </bottom>
    </border>
    <border>
      <top style="thin">
        <color rgb="FF000000"/>
      </top>
      <bottom style="thin">
        <color rgb="FF000000"/>
      </bottom>
    </border>
    <border>
      <top style="thin">
        <color rgb="FF000000"/>
      </top>
    </border>
    <border>
      <left style="thin">
        <color rgb="FF000000"/>
      </left>
      <right style="thin">
        <color rgb="FF000000"/>
      </right>
      <top style="thin">
        <color rgb="FF000000"/>
      </top>
      <bottom/>
    </border>
    <border>
      <bottom style="thin">
        <color rgb="FF000000"/>
      </bottom>
    </border>
    <border>
      <left style="thin">
        <color rgb="FF000000"/>
      </left>
      <right style="thin">
        <color rgb="FF000000"/>
      </right>
      <bottom style="thin">
        <color rgb="FF000000"/>
      </bottom>
    </border>
    <border>
      <lef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rder>
    <border>
      <left style="thin">
        <color rgb="FF000000"/>
      </left>
    </border>
    <border>
      <bottom style="hair">
        <color rgb="FF000000"/>
      </bottom>
    </border>
    <border>
      <top style="hair">
        <color rgb="FF000000"/>
      </top>
      <bottom style="hair">
        <color rgb="FF000000"/>
      </bottom>
    </border>
    <border>
      <left style="thin">
        <color rgb="FF000000"/>
      </left>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bottom style="thin">
        <color rgb="FF000000"/>
      </bottom>
    </border>
    <border>
      <left style="thin">
        <color rgb="FF000000"/>
      </left>
      <right style="thin">
        <color rgb="FF000000"/>
      </right>
      <top style="thin">
        <color rgb="FF000000"/>
      </top>
      <bottom style="dotted">
        <color rgb="FF000000"/>
      </bottom>
    </border>
    <border>
      <left style="thin">
        <color rgb="FF000000"/>
      </left>
      <right/>
      <top style="thin">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n">
        <color rgb="FF000000"/>
      </right>
      <top/>
      <bottom style="dotted">
        <color rgb="FF000000"/>
      </bottom>
    </border>
    <border>
      <left style="thin">
        <color rgb="FF000000"/>
      </left>
      <right style="thin">
        <color rgb="FF000000"/>
      </right>
      <bottom style="dotted">
        <color rgb="FF000000"/>
      </bottom>
    </border>
    <border>
      <left style="thin">
        <color rgb="FF000000"/>
      </left>
      <right style="thin">
        <color rgb="FF000000"/>
      </right>
      <top style="dotted">
        <color rgb="FF000000"/>
      </top>
      <bottom style="thin">
        <color rgb="FF000000"/>
      </bottom>
    </border>
  </borders>
  <cellStyleXfs count="1">
    <xf borderId="0" fillId="0" fontId="0" numFmtId="0" applyAlignment="1" applyFont="1"/>
  </cellStyleXfs>
  <cellXfs count="639">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1" numFmtId="0" xfId="0" applyFont="1"/>
    <xf borderId="0" fillId="0" fontId="3" numFmtId="0" xfId="0" applyAlignment="1" applyFont="1">
      <alignment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6" numFmtId="0" xfId="0" applyAlignment="1" applyFont="1">
      <alignment horizontal="left" vertical="center"/>
    </xf>
    <xf borderId="0" fillId="0" fontId="7" numFmtId="0" xfId="0" applyAlignment="1" applyFont="1">
      <alignment horizontal="center"/>
    </xf>
    <xf borderId="0" fillId="0" fontId="7" numFmtId="0" xfId="0" applyAlignment="1" applyFont="1">
      <alignment horizontal="center" vertical="center"/>
    </xf>
    <xf borderId="0" fillId="0" fontId="8" numFmtId="0" xfId="0" applyAlignment="1" applyFont="1">
      <alignment horizontal="left" vertical="center"/>
    </xf>
    <xf borderId="0" fillId="0" fontId="9" numFmtId="0" xfId="0" applyAlignment="1" applyFont="1">
      <alignment vertical="center"/>
    </xf>
    <xf borderId="0" fillId="0" fontId="10" numFmtId="0" xfId="0" applyAlignment="1" applyFont="1">
      <alignment horizontal="center" shrinkToFit="0" vertical="center" wrapText="1"/>
    </xf>
    <xf borderId="2" fillId="0" fontId="11" numFmtId="0" xfId="0" applyAlignment="1" applyBorder="1" applyFont="1">
      <alignment horizontal="center" shrinkToFit="0" vertical="center" wrapText="1"/>
    </xf>
    <xf borderId="3" fillId="0" fontId="11"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3" fillId="0" fontId="11"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5" fillId="0" fontId="12" numFmtId="3" xfId="0" applyAlignment="1" applyBorder="1" applyFont="1" applyNumberFormat="1">
      <alignment horizontal="center" vertical="center"/>
    </xf>
    <xf borderId="6" fillId="0" fontId="13" numFmtId="0" xfId="0" applyAlignment="1" applyBorder="1" applyFont="1">
      <alignment horizontal="center" vertical="center"/>
    </xf>
    <xf borderId="7" fillId="0" fontId="13" numFmtId="0" xfId="0" applyAlignment="1" applyBorder="1" applyFont="1">
      <alignment horizontal="center" vertical="center"/>
    </xf>
    <xf borderId="8" fillId="0" fontId="10" numFmtId="0" xfId="0" applyAlignment="1" applyBorder="1" applyFont="1">
      <alignment vertical="center"/>
    </xf>
    <xf borderId="8" fillId="0" fontId="14" numFmtId="0" xfId="0" applyAlignment="1" applyBorder="1" applyFont="1">
      <alignment horizontal="left" readingOrder="0"/>
    </xf>
    <xf borderId="9" fillId="0" fontId="10" numFmtId="0" xfId="0" applyAlignment="1" applyBorder="1" applyFont="1">
      <alignment vertical="center"/>
    </xf>
    <xf borderId="9" fillId="0" fontId="14" numFmtId="0" xfId="0" applyAlignment="1" applyBorder="1" applyFont="1">
      <alignment horizontal="left" readingOrder="0"/>
    </xf>
    <xf borderId="10" fillId="0" fontId="10" numFmtId="0" xfId="0" applyAlignment="1" applyBorder="1" applyFont="1">
      <alignment vertical="center"/>
    </xf>
    <xf borderId="10" fillId="0" fontId="14" numFmtId="0" xfId="0" applyAlignment="1" applyBorder="1" applyFont="1">
      <alignment horizontal="left" readingOrder="0"/>
    </xf>
    <xf borderId="1" fillId="2" fontId="15" numFmtId="0" xfId="0" applyBorder="1" applyFont="1"/>
    <xf borderId="0" fillId="0" fontId="15" numFmtId="0" xfId="0" applyFont="1"/>
    <xf borderId="0" fillId="0" fontId="16" numFmtId="0" xfId="0" applyFont="1"/>
    <xf borderId="11" fillId="3" fontId="15" numFmtId="0" xfId="0" applyBorder="1" applyFill="1" applyFont="1"/>
    <xf borderId="11" fillId="3" fontId="17" numFmtId="9" xfId="0" applyBorder="1" applyFont="1" applyNumberFormat="1"/>
    <xf borderId="11" fillId="4" fontId="17" numFmtId="0" xfId="0" applyBorder="1" applyFill="1" applyFont="1"/>
    <xf borderId="12" fillId="3" fontId="17" numFmtId="164" xfId="0" applyBorder="1" applyFont="1" applyNumberFormat="1"/>
    <xf borderId="11" fillId="0" fontId="17" numFmtId="165" xfId="0" applyBorder="1" applyFont="1" applyNumberFormat="1"/>
    <xf borderId="11" fillId="3" fontId="17" numFmtId="165" xfId="0" applyBorder="1" applyFont="1" applyNumberFormat="1"/>
    <xf borderId="11" fillId="3" fontId="17" numFmtId="0" xfId="0" applyBorder="1" applyFont="1"/>
    <xf borderId="11" fillId="3" fontId="17" numFmtId="10" xfId="0" applyBorder="1" applyFont="1" applyNumberFormat="1"/>
    <xf borderId="0" fillId="0" fontId="17" numFmtId="0" xfId="0" applyFont="1"/>
    <xf borderId="0" fillId="0" fontId="17" numFmtId="166" xfId="0" applyFont="1" applyNumberFormat="1"/>
    <xf borderId="11" fillId="0" fontId="17" numFmtId="0" xfId="0" applyBorder="1" applyFont="1"/>
    <xf borderId="11" fillId="3" fontId="15" numFmtId="0" xfId="0" applyAlignment="1" applyBorder="1" applyFont="1">
      <alignment horizontal="left" shrinkToFit="0" vertical="center" wrapText="1"/>
    </xf>
    <xf borderId="1" fillId="2" fontId="15" numFmtId="0" xfId="0" applyAlignment="1" applyBorder="1" applyFont="1">
      <alignment shrinkToFit="0" wrapText="1"/>
    </xf>
    <xf borderId="0" fillId="0" fontId="15" numFmtId="0" xfId="0" applyAlignment="1" applyFont="1">
      <alignment shrinkToFit="0" wrapText="1"/>
    </xf>
    <xf borderId="13" fillId="5" fontId="15" numFmtId="0" xfId="0" applyAlignment="1" applyBorder="1" applyFill="1" applyFont="1">
      <alignment horizontal="center" shrinkToFit="0" vertical="center" wrapText="1"/>
    </xf>
    <xf borderId="14" fillId="0" fontId="18" numFmtId="0" xfId="0" applyBorder="1" applyFont="1"/>
    <xf borderId="11" fillId="5" fontId="15" numFmtId="0" xfId="0" applyAlignment="1" applyBorder="1" applyFont="1">
      <alignment horizontal="center" shrinkToFit="0" vertical="center" wrapText="1"/>
    </xf>
    <xf borderId="13" fillId="3" fontId="15" numFmtId="0" xfId="0" applyAlignment="1" applyBorder="1" applyFont="1">
      <alignment horizontal="left" readingOrder="0" shrinkToFit="0" wrapText="1"/>
    </xf>
    <xf borderId="13" fillId="0" fontId="15" numFmtId="166" xfId="0" applyAlignment="1" applyBorder="1" applyFont="1" applyNumberFormat="1">
      <alignment horizontal="center" readingOrder="0" shrinkToFit="0" vertical="center" wrapText="1"/>
    </xf>
    <xf borderId="11" fillId="0" fontId="15" numFmtId="10" xfId="0" applyAlignment="1" applyBorder="1" applyFont="1" applyNumberFormat="1">
      <alignment horizontal="center" readingOrder="0" vertical="center"/>
    </xf>
    <xf borderId="15" fillId="6" fontId="15" numFmtId="166" xfId="0" applyAlignment="1" applyBorder="1" applyFill="1" applyFont="1" applyNumberFormat="1">
      <alignment horizontal="center" shrinkToFit="0" vertical="center" wrapText="1"/>
    </xf>
    <xf borderId="11" fillId="0" fontId="15" numFmtId="10" xfId="0" applyBorder="1" applyFont="1" applyNumberFormat="1"/>
    <xf borderId="11" fillId="3" fontId="15" numFmtId="10" xfId="0" applyBorder="1" applyFont="1" applyNumberFormat="1"/>
    <xf borderId="0" fillId="0" fontId="15" numFmtId="167" xfId="0" applyFont="1" applyNumberFormat="1"/>
    <xf borderId="0" fillId="0" fontId="19" numFmtId="0" xfId="0" applyFont="1"/>
    <xf borderId="13" fillId="4" fontId="17" numFmtId="164" xfId="0" applyAlignment="1" applyBorder="1" applyFont="1" applyNumberFormat="1">
      <alignment horizontal="left" readingOrder="0"/>
    </xf>
    <xf borderId="11" fillId="0" fontId="17" numFmtId="167" xfId="0" applyAlignment="1" applyBorder="1" applyFont="1" applyNumberFormat="1">
      <alignment readingOrder="0"/>
    </xf>
    <xf borderId="11" fillId="4" fontId="17" numFmtId="168" xfId="0" applyAlignment="1" applyBorder="1" applyFont="1" applyNumberFormat="1">
      <alignment readingOrder="0"/>
    </xf>
    <xf borderId="11" fillId="4" fontId="15" numFmtId="10" xfId="0" applyAlignment="1" applyBorder="1" applyFont="1" applyNumberFormat="1">
      <alignment readingOrder="0"/>
    </xf>
    <xf borderId="1" fillId="7" fontId="15" numFmtId="167" xfId="0" applyBorder="1" applyFill="1" applyFont="1" applyNumberFormat="1"/>
    <xf borderId="1" fillId="7" fontId="15" numFmtId="0" xfId="0" applyBorder="1" applyFont="1"/>
    <xf borderId="0" fillId="0" fontId="15" numFmtId="0" xfId="0" applyAlignment="1" applyFont="1">
      <alignment readingOrder="0"/>
    </xf>
    <xf borderId="13" fillId="0" fontId="17" numFmtId="164" xfId="0" applyAlignment="1" applyBorder="1" applyFont="1" applyNumberFormat="1">
      <alignment horizontal="center"/>
    </xf>
    <xf borderId="11" fillId="0" fontId="17" numFmtId="167" xfId="0" applyBorder="1" applyFont="1" applyNumberFormat="1"/>
    <xf borderId="11" fillId="0" fontId="17" numFmtId="168" xfId="0" applyBorder="1" applyFont="1" applyNumberFormat="1"/>
    <xf borderId="11" fillId="0" fontId="15" numFmtId="168" xfId="0" applyBorder="1" applyFont="1" applyNumberFormat="1"/>
    <xf borderId="11" fillId="0" fontId="15" numFmtId="9" xfId="0" applyBorder="1" applyFont="1" applyNumberFormat="1"/>
    <xf borderId="11" fillId="0" fontId="15" numFmtId="168" xfId="0" applyAlignment="1" applyBorder="1" applyFont="1" applyNumberFormat="1">
      <alignment readingOrder="0"/>
    </xf>
    <xf borderId="11" fillId="3" fontId="17" numFmtId="166" xfId="0" applyBorder="1" applyFont="1" applyNumberFormat="1"/>
    <xf borderId="11" fillId="3" fontId="17" numFmtId="168" xfId="0" applyBorder="1" applyFont="1" applyNumberFormat="1"/>
    <xf borderId="0" fillId="0" fontId="20" numFmtId="167" xfId="0" applyFont="1" applyNumberFormat="1"/>
    <xf borderId="11" fillId="3" fontId="15" numFmtId="0" xfId="0" applyAlignment="1" applyBorder="1" applyFont="1">
      <alignment horizontal="center" shrinkToFit="0" vertical="center" wrapText="1"/>
    </xf>
    <xf borderId="11" fillId="3" fontId="15" numFmtId="168" xfId="0" applyBorder="1" applyFont="1" applyNumberFormat="1"/>
    <xf borderId="16" fillId="3" fontId="15" numFmtId="168" xfId="0" applyBorder="1" applyFont="1" applyNumberFormat="1"/>
    <xf borderId="11" fillId="4" fontId="21" numFmtId="0" xfId="0" applyAlignment="1" applyBorder="1" applyFont="1">
      <alignment readingOrder="0"/>
    </xf>
    <xf borderId="16" fillId="3" fontId="15" numFmtId="167" xfId="0" applyBorder="1" applyFont="1" applyNumberFormat="1"/>
    <xf borderId="0" fillId="0" fontId="15" numFmtId="9" xfId="0" applyFont="1" applyNumberFormat="1"/>
    <xf borderId="0" fillId="0" fontId="15" numFmtId="169" xfId="0" applyFont="1" applyNumberFormat="1"/>
    <xf borderId="11" fillId="4" fontId="21" numFmtId="0" xfId="0" applyBorder="1" applyFont="1"/>
    <xf borderId="0" fillId="0" fontId="15" numFmtId="0" xfId="0" applyAlignment="1" applyFont="1">
      <alignment horizontal="center" shrinkToFit="0" vertical="center" wrapText="1"/>
    </xf>
    <xf borderId="0" fillId="0" fontId="15" numFmtId="10" xfId="0" applyAlignment="1" applyFont="1" applyNumberFormat="1">
      <alignment horizontal="right"/>
    </xf>
    <xf borderId="0" fillId="0" fontId="22" numFmtId="0" xfId="0" applyAlignment="1" applyFont="1">
      <alignment horizontal="left"/>
    </xf>
    <xf borderId="0" fillId="0" fontId="23" numFmtId="0" xfId="0" applyFont="1"/>
    <xf borderId="0" fillId="0" fontId="20" numFmtId="0" xfId="0" applyFont="1"/>
    <xf borderId="1" fillId="2" fontId="24" numFmtId="0" xfId="0" applyBorder="1" applyFont="1"/>
    <xf borderId="0" fillId="0" fontId="24" numFmtId="0" xfId="0" applyFont="1"/>
    <xf borderId="0" fillId="0" fontId="17" numFmtId="164" xfId="0" applyFont="1" applyNumberFormat="1"/>
    <xf borderId="0" fillId="0" fontId="25" numFmtId="164" xfId="0" applyFont="1" applyNumberFormat="1"/>
    <xf borderId="1" fillId="2" fontId="25" numFmtId="164" xfId="0" applyBorder="1" applyFont="1" applyNumberFormat="1"/>
    <xf borderId="0" fillId="0" fontId="26" numFmtId="164" xfId="0" applyAlignment="1" applyFont="1" applyNumberFormat="1">
      <alignment horizontal="left"/>
    </xf>
    <xf borderId="0" fillId="0" fontId="27" numFmtId="164" xfId="0" applyFont="1" applyNumberFormat="1"/>
    <xf borderId="1" fillId="2" fontId="17" numFmtId="0" xfId="0" applyBorder="1" applyFont="1"/>
    <xf borderId="0" fillId="0" fontId="28" numFmtId="164" xfId="0" applyAlignment="1" applyFont="1" applyNumberFormat="1">
      <alignment horizontal="left"/>
    </xf>
    <xf borderId="1" fillId="2" fontId="17" numFmtId="164" xfId="0" applyBorder="1" applyFont="1" applyNumberFormat="1"/>
    <xf borderId="11" fillId="3" fontId="17" numFmtId="168" xfId="0" applyAlignment="1" applyBorder="1" applyFont="1" applyNumberFormat="1">
      <alignment horizontal="center" vertical="center"/>
    </xf>
    <xf borderId="13" fillId="3" fontId="17" numFmtId="164" xfId="0" applyAlignment="1" applyBorder="1" applyFont="1" applyNumberFormat="1">
      <alignment horizontal="center" vertical="center"/>
    </xf>
    <xf borderId="1" fillId="2" fontId="29" numFmtId="164" xfId="0" applyBorder="1" applyFont="1" applyNumberFormat="1"/>
    <xf borderId="11" fillId="3" fontId="17" numFmtId="164" xfId="0" applyAlignment="1" applyBorder="1" applyFont="1" applyNumberFormat="1">
      <alignment horizontal="center"/>
    </xf>
    <xf borderId="11" fillId="8" fontId="17" numFmtId="164" xfId="0" applyAlignment="1" applyBorder="1" applyFill="1" applyFont="1" applyNumberFormat="1">
      <alignment readingOrder="0"/>
    </xf>
    <xf borderId="11" fillId="8" fontId="17" numFmtId="168" xfId="0" applyBorder="1" applyFont="1" applyNumberFormat="1"/>
    <xf borderId="11" fillId="0" fontId="17" numFmtId="168" xfId="0" applyAlignment="1" applyBorder="1" applyFont="1" applyNumberFormat="1">
      <alignment readingOrder="0"/>
    </xf>
    <xf borderId="0" fillId="0" fontId="30" numFmtId="0" xfId="0" applyAlignment="1" applyFont="1">
      <alignment readingOrder="0"/>
    </xf>
    <xf borderId="11" fillId="8" fontId="17" numFmtId="168" xfId="0" applyAlignment="1" applyBorder="1" applyFont="1" applyNumberFormat="1">
      <alignment readingOrder="0"/>
    </xf>
    <xf borderId="0" fillId="0" fontId="31" numFmtId="0" xfId="0" applyAlignment="1" applyFont="1">
      <alignment readingOrder="0"/>
    </xf>
    <xf borderId="11" fillId="0" fontId="15" numFmtId="0" xfId="0" applyAlignment="1" applyBorder="1" applyFont="1">
      <alignment horizontal="center" shrinkToFit="0" vertical="center" wrapText="1"/>
    </xf>
    <xf borderId="0" fillId="0" fontId="15" numFmtId="0" xfId="0" applyAlignment="1" applyFont="1">
      <alignment shrinkToFit="0" vertical="center" wrapText="1"/>
    </xf>
    <xf borderId="11" fillId="3" fontId="17" numFmtId="0" xfId="0" applyAlignment="1" applyBorder="1" applyFont="1">
      <alignment horizontal="center" vertical="center"/>
    </xf>
    <xf borderId="11" fillId="3" fontId="17" numFmtId="2" xfId="0" applyAlignment="1" applyBorder="1" applyFont="1" applyNumberFormat="1">
      <alignment horizontal="center" vertical="center"/>
    </xf>
    <xf borderId="11" fillId="8" fontId="17" numFmtId="0" xfId="0" applyAlignment="1" applyBorder="1" applyFont="1">
      <alignment readingOrder="0"/>
    </xf>
    <xf borderId="1" fillId="2" fontId="29" numFmtId="0" xfId="0" applyBorder="1" applyFont="1"/>
    <xf borderId="11" fillId="8" fontId="17" numFmtId="0" xfId="0" applyBorder="1" applyFont="1"/>
    <xf borderId="11" fillId="3" fontId="19" numFmtId="168" xfId="0" applyBorder="1" applyFont="1" applyNumberFormat="1"/>
    <xf borderId="11" fillId="3" fontId="19" numFmtId="2" xfId="0" applyBorder="1" applyFont="1" applyNumberFormat="1"/>
    <xf borderId="11" fillId="3" fontId="19" numFmtId="168" xfId="0" applyAlignment="1" applyBorder="1" applyFont="1" applyNumberFormat="1">
      <alignment horizontal="center"/>
    </xf>
    <xf borderId="11" fillId="3" fontId="19" numFmtId="168" xfId="0" applyAlignment="1" applyBorder="1" applyFont="1" applyNumberFormat="1">
      <alignment horizontal="right"/>
    </xf>
    <xf borderId="11" fillId="3" fontId="32" numFmtId="168" xfId="0" applyBorder="1" applyFont="1" applyNumberFormat="1"/>
    <xf borderId="1" fillId="2" fontId="20" numFmtId="0" xfId="0" applyBorder="1" applyFont="1"/>
    <xf borderId="0" fillId="0" fontId="2" numFmtId="0" xfId="0" applyAlignment="1" applyFont="1">
      <alignment shrinkToFit="0" wrapText="1"/>
    </xf>
    <xf borderId="1" fillId="2" fontId="24" numFmtId="0" xfId="0" applyAlignment="1" applyBorder="1" applyFont="1">
      <alignment shrinkToFit="0" wrapText="1"/>
    </xf>
    <xf borderId="0" fillId="0" fontId="24" numFmtId="0" xfId="0" applyAlignment="1" applyFont="1">
      <alignment shrinkToFit="0" wrapText="1"/>
    </xf>
    <xf borderId="0" fillId="0" fontId="17" numFmtId="164" xfId="0" applyAlignment="1" applyFont="1" applyNumberFormat="1">
      <alignment shrinkToFit="0" wrapText="1"/>
    </xf>
    <xf borderId="1" fillId="2" fontId="25" numFmtId="164" xfId="0" applyAlignment="1" applyBorder="1" applyFont="1" applyNumberFormat="1">
      <alignment shrinkToFit="0" wrapText="1"/>
    </xf>
    <xf borderId="0" fillId="0" fontId="33" numFmtId="164" xfId="0" applyAlignment="1" applyFont="1" applyNumberFormat="1">
      <alignment horizontal="left" shrinkToFit="0" wrapText="1"/>
    </xf>
    <xf borderId="1" fillId="2" fontId="34" numFmtId="164" xfId="0" applyAlignment="1" applyBorder="1" applyFont="1" applyNumberFormat="1">
      <alignment shrinkToFit="0" wrapText="1"/>
    </xf>
    <xf borderId="1" fillId="2" fontId="17" numFmtId="0" xfId="0" applyAlignment="1" applyBorder="1" applyFont="1">
      <alignment shrinkToFit="0" wrapText="1"/>
    </xf>
    <xf borderId="0" fillId="0" fontId="17" numFmtId="0" xfId="0" applyAlignment="1" applyFont="1">
      <alignment shrinkToFit="0" wrapText="1"/>
    </xf>
    <xf borderId="0" fillId="0" fontId="35" numFmtId="164" xfId="0" applyAlignment="1" applyFont="1" applyNumberFormat="1">
      <alignment horizontal="left" shrinkToFit="0" wrapText="1"/>
    </xf>
    <xf borderId="1" fillId="2" fontId="17" numFmtId="164" xfId="0" applyAlignment="1" applyBorder="1" applyFont="1" applyNumberFormat="1">
      <alignment shrinkToFit="0" wrapText="1"/>
    </xf>
    <xf borderId="11" fillId="0" fontId="17" numFmtId="164" xfId="0" applyAlignment="1" applyBorder="1" applyFont="1" applyNumberFormat="1">
      <alignment horizontal="center" shrinkToFit="0" vertical="center" wrapText="1"/>
    </xf>
    <xf borderId="11" fillId="0" fontId="17" numFmtId="168" xfId="0" applyAlignment="1" applyBorder="1" applyFont="1" applyNumberFormat="1">
      <alignment horizontal="center" readingOrder="0" shrinkToFit="0" vertical="center" wrapText="1"/>
    </xf>
    <xf borderId="13" fillId="3" fontId="17" numFmtId="164" xfId="0" applyAlignment="1" applyBorder="1" applyFont="1" applyNumberFormat="1">
      <alignment horizontal="center" shrinkToFit="0" vertical="center" wrapText="1"/>
    </xf>
    <xf borderId="1" fillId="2" fontId="20" numFmtId="0" xfId="0" applyAlignment="1" applyBorder="1" applyFont="1">
      <alignment shrinkToFit="0" wrapText="1"/>
    </xf>
    <xf borderId="11" fillId="3" fontId="17" numFmtId="164" xfId="0" applyAlignment="1" applyBorder="1" applyFont="1" applyNumberFormat="1">
      <alignment horizontal="center" shrinkToFit="0" vertical="center" wrapText="1"/>
    </xf>
    <xf borderId="11" fillId="3" fontId="17" numFmtId="168" xfId="0" applyAlignment="1" applyBorder="1" applyFont="1" applyNumberFormat="1">
      <alignment horizontal="center" shrinkToFit="0" vertical="center" wrapText="1"/>
    </xf>
    <xf borderId="11" fillId="3" fontId="17" numFmtId="164" xfId="0" applyAlignment="1" applyBorder="1" applyFont="1" applyNumberFormat="1">
      <alignment horizontal="center" shrinkToFit="0" wrapText="1"/>
    </xf>
    <xf borderId="11" fillId="3" fontId="17" numFmtId="164" xfId="0" applyAlignment="1" applyBorder="1" applyFont="1" applyNumberFormat="1">
      <alignment shrinkToFit="0" wrapText="1"/>
    </xf>
    <xf borderId="11" fillId="3" fontId="17" numFmtId="0" xfId="0" applyAlignment="1" applyBorder="1" applyFont="1">
      <alignment horizontal="center" shrinkToFit="0" vertical="center" wrapText="1"/>
    </xf>
    <xf borderId="11" fillId="3" fontId="17" numFmtId="170" xfId="0" applyAlignment="1" applyBorder="1" applyFont="1" applyNumberFormat="1">
      <alignment horizontal="right" shrinkToFit="0" vertical="center" wrapText="1"/>
    </xf>
    <xf borderId="11" fillId="3" fontId="17" numFmtId="168" xfId="0" applyAlignment="1" applyBorder="1" applyFont="1" applyNumberFormat="1">
      <alignment horizontal="right" shrinkToFit="0" vertical="center" wrapText="1"/>
    </xf>
    <xf borderId="11" fillId="3" fontId="19" numFmtId="168" xfId="0" applyAlignment="1" applyBorder="1" applyFont="1" applyNumberFormat="1">
      <alignment shrinkToFit="0" wrapText="1"/>
    </xf>
    <xf borderId="11" fillId="3" fontId="19" numFmtId="170" xfId="0" applyAlignment="1" applyBorder="1" applyFont="1" applyNumberFormat="1">
      <alignment shrinkToFit="0" wrapText="1"/>
    </xf>
    <xf borderId="11" fillId="3" fontId="19" numFmtId="168" xfId="0" applyAlignment="1" applyBorder="1" applyFont="1" applyNumberFormat="1">
      <alignment horizontal="center" shrinkToFit="0" wrapText="1"/>
    </xf>
    <xf borderId="11" fillId="3" fontId="19" numFmtId="168" xfId="0" applyAlignment="1" applyBorder="1" applyFont="1" applyNumberFormat="1">
      <alignment horizontal="right" shrinkToFit="0" wrapText="1"/>
    </xf>
    <xf borderId="0" fillId="0" fontId="20" numFmtId="0" xfId="0" applyAlignment="1" applyFont="1">
      <alignment shrinkToFit="0" wrapText="1"/>
    </xf>
    <xf borderId="0" fillId="0" fontId="20" numFmtId="171" xfId="0" applyAlignment="1" applyFont="1" applyNumberFormat="1">
      <alignment horizontal="center" shrinkToFit="0" wrapText="1"/>
    </xf>
    <xf borderId="0" fillId="0" fontId="20" numFmtId="0" xfId="0" applyAlignment="1" applyFont="1">
      <alignment horizontal="right" shrinkToFit="0" wrapText="1"/>
    </xf>
    <xf borderId="11" fillId="5" fontId="15" numFmtId="0" xfId="0" applyAlignment="1" applyBorder="1" applyFont="1">
      <alignment horizontal="center" readingOrder="0" shrinkToFit="0" vertical="center" wrapText="1"/>
    </xf>
    <xf borderId="0" fillId="0" fontId="25" numFmtId="168" xfId="0" applyAlignment="1" applyFont="1" applyNumberFormat="1">
      <alignment readingOrder="0"/>
    </xf>
    <xf borderId="0" fillId="0" fontId="17" numFmtId="164" xfId="0" applyAlignment="1" applyFont="1" applyNumberFormat="1">
      <alignment readingOrder="0"/>
    </xf>
    <xf borderId="11" fillId="8" fontId="17" numFmtId="164" xfId="0" applyBorder="1" applyFont="1" applyNumberFormat="1"/>
    <xf borderId="1" fillId="8" fontId="25" numFmtId="164" xfId="0" applyBorder="1" applyFont="1" applyNumberFormat="1"/>
    <xf borderId="11" fillId="8" fontId="17" numFmtId="168" xfId="0" applyAlignment="1" applyBorder="1" applyFont="1" applyNumberFormat="1">
      <alignment readingOrder="0" shrinkToFit="0" wrapText="1"/>
    </xf>
    <xf borderId="11" fillId="3" fontId="17" numFmtId="168" xfId="0" applyAlignment="1" applyBorder="1" applyFont="1" applyNumberFormat="1">
      <alignment horizontal="right" vertical="center"/>
    </xf>
    <xf borderId="0" fillId="0" fontId="36" numFmtId="164" xfId="0" applyAlignment="1" applyFont="1" applyNumberFormat="1">
      <alignment horizontal="left"/>
    </xf>
    <xf borderId="11" fillId="3" fontId="17" numFmtId="164" xfId="0" applyBorder="1" applyFont="1" applyNumberFormat="1"/>
    <xf borderId="11" fillId="0" fontId="17" numFmtId="164" xfId="0" applyAlignment="1" applyBorder="1" applyFont="1" applyNumberFormat="1">
      <alignment readingOrder="0"/>
    </xf>
    <xf borderId="11" fillId="0" fontId="15" numFmtId="0" xfId="0" applyAlignment="1" applyBorder="1" applyFont="1">
      <alignment horizontal="center" readingOrder="0" shrinkToFit="0" vertical="center" wrapText="1"/>
    </xf>
    <xf borderId="11" fillId="4" fontId="17" numFmtId="164" xfId="0" applyAlignment="1" applyBorder="1" applyFont="1" applyNumberFormat="1">
      <alignment readingOrder="0"/>
    </xf>
    <xf borderId="11" fillId="4" fontId="17" numFmtId="164" xfId="0" applyBorder="1" applyFont="1" applyNumberFormat="1"/>
    <xf borderId="11" fillId="0" fontId="17" numFmtId="0" xfId="0" applyAlignment="1" applyBorder="1" applyFont="1">
      <alignment readingOrder="0"/>
    </xf>
    <xf borderId="11" fillId="3" fontId="17" numFmtId="168" xfId="0" applyAlignment="1" applyBorder="1" applyFont="1" applyNumberFormat="1">
      <alignment readingOrder="0"/>
    </xf>
    <xf borderId="1" fillId="9" fontId="37" numFmtId="164" xfId="0" applyAlignment="1" applyBorder="1" applyFill="1" applyFont="1" applyNumberFormat="1">
      <alignment horizontal="left"/>
    </xf>
    <xf borderId="0" fillId="0" fontId="38" numFmtId="164" xfId="0" applyFont="1" applyNumberFormat="1"/>
    <xf borderId="0" fillId="0" fontId="39" numFmtId="164" xfId="0" applyFont="1" applyNumberFormat="1"/>
    <xf borderId="0" fillId="0" fontId="40" numFmtId="0" xfId="0" applyFont="1"/>
    <xf borderId="0" fillId="0" fontId="41" numFmtId="164" xfId="0" applyFont="1" applyNumberFormat="1"/>
    <xf borderId="0" fillId="0" fontId="32" numFmtId="0" xfId="0" applyAlignment="1" applyFont="1">
      <alignment horizontal="center"/>
    </xf>
    <xf borderId="0" fillId="0" fontId="42" numFmtId="0" xfId="0" applyFont="1"/>
    <xf borderId="0" fillId="0" fontId="43" numFmtId="164" xfId="0" applyFont="1" applyNumberFormat="1"/>
    <xf borderId="11" fillId="5" fontId="15" numFmtId="0" xfId="0" applyAlignment="1" applyBorder="1" applyFont="1">
      <alignment horizontal="left" shrinkToFit="0" vertical="center" wrapText="1"/>
    </xf>
    <xf borderId="11" fillId="3" fontId="17" numFmtId="0" xfId="0" applyAlignment="1" applyBorder="1" applyFont="1">
      <alignment horizontal="left" readingOrder="0"/>
    </xf>
    <xf borderId="17" fillId="3" fontId="17" numFmtId="168" xfId="0" applyAlignment="1" applyBorder="1" applyFont="1" applyNumberFormat="1">
      <alignment readingOrder="0"/>
    </xf>
    <xf borderId="11" fillId="3" fontId="17" numFmtId="168" xfId="0" applyAlignment="1" applyBorder="1" applyFont="1" applyNumberFormat="1">
      <alignment horizontal="center"/>
    </xf>
    <xf borderId="0" fillId="0" fontId="17" numFmtId="172" xfId="0" applyAlignment="1" applyFont="1" applyNumberFormat="1">
      <alignment horizontal="center"/>
    </xf>
    <xf borderId="11" fillId="3" fontId="17" numFmtId="168" xfId="0" applyAlignment="1" applyBorder="1" applyFont="1" applyNumberFormat="1">
      <alignment horizontal="center" readingOrder="0"/>
    </xf>
    <xf borderId="0" fillId="0" fontId="32" numFmtId="172" xfId="0" applyAlignment="1" applyFont="1" applyNumberFormat="1">
      <alignment horizontal="center"/>
    </xf>
    <xf borderId="11" fillId="3" fontId="17" numFmtId="0" xfId="0" applyAlignment="1" applyBorder="1" applyFont="1">
      <alignment horizontal="left"/>
    </xf>
    <xf borderId="12" fillId="5" fontId="32" numFmtId="0" xfId="0" applyBorder="1" applyFont="1"/>
    <xf borderId="15" fillId="5" fontId="20" numFmtId="0" xfId="0" applyAlignment="1" applyBorder="1" applyFont="1">
      <alignment horizontal="right"/>
    </xf>
    <xf borderId="11" fillId="5" fontId="19" numFmtId="0" xfId="0" applyBorder="1" applyFont="1"/>
    <xf borderId="11" fillId="5" fontId="19" numFmtId="168" xfId="0" applyAlignment="1" applyBorder="1" applyFont="1" applyNumberFormat="1">
      <alignment horizontal="center"/>
    </xf>
    <xf borderId="16" fillId="5" fontId="32" numFmtId="0" xfId="0" applyBorder="1" applyFont="1"/>
    <xf borderId="15" fillId="5" fontId="32" numFmtId="0" xfId="0" applyBorder="1" applyFont="1"/>
    <xf borderId="11" fillId="5" fontId="32" numFmtId="168" xfId="0" applyAlignment="1" applyBorder="1" applyFont="1" applyNumberFormat="1">
      <alignment horizontal="center"/>
    </xf>
    <xf borderId="11" fillId="3" fontId="17" numFmtId="4" xfId="0" applyAlignment="1" applyBorder="1" applyFont="1" applyNumberFormat="1">
      <alignment readingOrder="0"/>
    </xf>
    <xf borderId="17" fillId="3" fontId="17" numFmtId="168" xfId="0" applyBorder="1" applyFont="1" applyNumberFormat="1"/>
    <xf borderId="12" fillId="3" fontId="32" numFmtId="0" xfId="0" applyBorder="1" applyFont="1"/>
    <xf borderId="16" fillId="3" fontId="32" numFmtId="0" xfId="0" applyBorder="1" applyFont="1"/>
    <xf borderId="15" fillId="3" fontId="32" numFmtId="9" xfId="0" applyBorder="1" applyFont="1" applyNumberFormat="1"/>
    <xf borderId="11" fillId="3" fontId="32" numFmtId="168" xfId="0" applyAlignment="1" applyBorder="1" applyFont="1" applyNumberFormat="1">
      <alignment horizontal="center"/>
    </xf>
    <xf borderId="12" fillId="3" fontId="17" numFmtId="0" xfId="0" applyBorder="1" applyFont="1"/>
    <xf borderId="16" fillId="3" fontId="17" numFmtId="0" xfId="0" applyBorder="1" applyFont="1"/>
    <xf borderId="15" fillId="3" fontId="17" numFmtId="0" xfId="0" applyBorder="1" applyFont="1"/>
    <xf borderId="16" fillId="3" fontId="17" numFmtId="0" xfId="0" applyAlignment="1" applyBorder="1" applyFont="1">
      <alignment readingOrder="0"/>
    </xf>
    <xf borderId="11" fillId="3" fontId="17" numFmtId="173" xfId="0" applyAlignment="1" applyBorder="1" applyFont="1" applyNumberFormat="1">
      <alignment readingOrder="0"/>
    </xf>
    <xf borderId="0" fillId="0" fontId="44" numFmtId="0" xfId="0" applyFont="1"/>
    <xf borderId="15" fillId="5" fontId="32" numFmtId="0" xfId="0" applyAlignment="1" applyBorder="1" applyFont="1">
      <alignment horizontal="center"/>
    </xf>
    <xf borderId="11" fillId="5" fontId="32" numFmtId="167" xfId="0" applyAlignment="1" applyBorder="1" applyFont="1" applyNumberFormat="1">
      <alignment horizontal="center" readingOrder="0"/>
    </xf>
    <xf borderId="11" fillId="3" fontId="17" numFmtId="173" xfId="0" applyBorder="1" applyFont="1" applyNumberFormat="1"/>
    <xf borderId="0" fillId="0" fontId="32" numFmtId="0" xfId="0" applyFont="1"/>
    <xf borderId="11" fillId="7" fontId="32" numFmtId="10" xfId="0" applyAlignment="1" applyBorder="1" applyFont="1" applyNumberFormat="1">
      <alignment horizontal="right"/>
    </xf>
    <xf borderId="1" fillId="2" fontId="17" numFmtId="167" xfId="0" applyBorder="1" applyFont="1" applyNumberFormat="1"/>
    <xf borderId="1" fillId="2" fontId="17" numFmtId="172" xfId="0" applyBorder="1" applyFont="1" applyNumberFormat="1"/>
    <xf borderId="1" fillId="2" fontId="44" numFmtId="0" xfId="0" applyBorder="1" applyFont="1"/>
    <xf borderId="1" fillId="2" fontId="15" numFmtId="168" xfId="0" applyBorder="1" applyFont="1" applyNumberFormat="1"/>
    <xf borderId="1" fillId="2" fontId="45" numFmtId="0" xfId="0" applyBorder="1" applyFont="1"/>
    <xf borderId="11" fillId="3" fontId="46" numFmtId="0" xfId="0" applyAlignment="1" applyBorder="1" applyFont="1">
      <alignment horizontal="left" vertical="center"/>
    </xf>
    <xf borderId="11" fillId="3" fontId="17" numFmtId="165" xfId="0" applyAlignment="1" applyBorder="1" applyFont="1" applyNumberFormat="1">
      <alignment horizontal="center" vertical="center"/>
    </xf>
    <xf borderId="11" fillId="0" fontId="17" numFmtId="0" xfId="0" applyAlignment="1" applyBorder="1" applyFont="1">
      <alignment vertical="center"/>
    </xf>
    <xf borderId="1" fillId="2" fontId="45" numFmtId="0" xfId="0" applyAlignment="1" applyBorder="1" applyFont="1">
      <alignment shrinkToFit="0" wrapText="1"/>
    </xf>
    <xf borderId="11" fillId="3" fontId="17" numFmtId="0" xfId="0" applyAlignment="1" applyBorder="1" applyFont="1">
      <alignment vertical="center"/>
    </xf>
    <xf borderId="11" fillId="0" fontId="17" numFmtId="168" xfId="0" applyAlignment="1" applyBorder="1" applyFont="1" applyNumberFormat="1">
      <alignment horizontal="center" readingOrder="0"/>
    </xf>
    <xf borderId="11" fillId="3" fontId="17" numFmtId="4" xfId="0" applyAlignment="1" applyBorder="1" applyFont="1" applyNumberFormat="1">
      <alignment vertical="center"/>
    </xf>
    <xf borderId="0" fillId="0" fontId="46" numFmtId="0" xfId="0" applyAlignment="1" applyFont="1">
      <alignment horizontal="center" vertical="center"/>
    </xf>
    <xf borderId="0" fillId="0" fontId="17" numFmtId="0" xfId="0" applyAlignment="1" applyFont="1">
      <alignment horizontal="center" vertical="center"/>
    </xf>
    <xf borderId="11" fillId="0" fontId="17" numFmtId="0" xfId="0" applyAlignment="1" applyBorder="1" applyFont="1">
      <alignment horizontal="center" readingOrder="0" vertical="center"/>
    </xf>
    <xf borderId="11" fillId="0" fontId="17" numFmtId="0" xfId="0" applyAlignment="1" applyBorder="1" applyFont="1">
      <alignment horizontal="center" vertical="center"/>
    </xf>
    <xf borderId="16" fillId="5" fontId="20" numFmtId="0" xfId="0" applyAlignment="1" applyBorder="1" applyFont="1">
      <alignment horizontal="right"/>
    </xf>
    <xf borderId="15" fillId="5" fontId="19" numFmtId="166" xfId="0" applyBorder="1" applyFont="1" applyNumberFormat="1"/>
    <xf borderId="15" fillId="3" fontId="17" numFmtId="168" xfId="0" applyAlignment="1" applyBorder="1" applyFont="1" applyNumberFormat="1">
      <alignment horizontal="center" vertical="center"/>
    </xf>
    <xf borderId="15" fillId="3" fontId="17" numFmtId="2" xfId="0" applyAlignment="1" applyBorder="1" applyFont="1" applyNumberFormat="1">
      <alignment horizontal="center"/>
    </xf>
    <xf borderId="11" fillId="3" fontId="17" numFmtId="2" xfId="0" applyAlignment="1" applyBorder="1" applyFont="1" applyNumberFormat="1">
      <alignment horizontal="center"/>
    </xf>
    <xf borderId="13" fillId="5" fontId="15" numFmtId="0" xfId="0" applyAlignment="1" applyBorder="1" applyFont="1">
      <alignment horizontal="left" shrinkToFit="0" vertical="center" wrapText="1"/>
    </xf>
    <xf borderId="18" fillId="0" fontId="18" numFmtId="0" xfId="0" applyBorder="1" applyFont="1"/>
    <xf borderId="16" fillId="5" fontId="15" numFmtId="0" xfId="0" applyBorder="1" applyFont="1"/>
    <xf borderId="15" fillId="5" fontId="15" numFmtId="0" xfId="0" applyBorder="1" applyFont="1"/>
    <xf borderId="11" fillId="5" fontId="17" numFmtId="168" xfId="0" applyAlignment="1" applyBorder="1" applyFont="1" applyNumberFormat="1">
      <alignment horizontal="center"/>
    </xf>
    <xf borderId="15" fillId="5" fontId="32" numFmtId="9" xfId="0" applyBorder="1" applyFont="1" applyNumberFormat="1"/>
    <xf borderId="12" fillId="5" fontId="15" numFmtId="0" xfId="0" applyBorder="1" applyFont="1"/>
    <xf borderId="11" fillId="5" fontId="15" numFmtId="0" xfId="0" applyBorder="1" applyFont="1"/>
    <xf borderId="12" fillId="3" fontId="17" numFmtId="0" xfId="0" applyAlignment="1" applyBorder="1" applyFont="1">
      <alignment readingOrder="0"/>
    </xf>
    <xf borderId="11" fillId="7" fontId="17" numFmtId="168" xfId="0" applyAlignment="1" applyBorder="1" applyFont="1" applyNumberFormat="1">
      <alignment readingOrder="0"/>
    </xf>
    <xf borderId="0" fillId="0" fontId="47" numFmtId="0" xfId="0" applyFont="1"/>
    <xf borderId="12" fillId="5" fontId="32" numFmtId="0" xfId="0" applyAlignment="1" applyBorder="1" applyFont="1">
      <alignment vertical="center"/>
    </xf>
    <xf borderId="16" fillId="5" fontId="32" numFmtId="0" xfId="0" applyAlignment="1" applyBorder="1" applyFont="1">
      <alignment vertical="center"/>
    </xf>
    <xf borderId="0" fillId="0" fontId="17" numFmtId="173" xfId="0" applyAlignment="1" applyFont="1" applyNumberFormat="1">
      <alignment horizontal="center"/>
    </xf>
    <xf borderId="11" fillId="3" fontId="17" numFmtId="10" xfId="0" applyAlignment="1" applyBorder="1" applyFont="1" applyNumberFormat="1">
      <alignment horizontal="center" vertical="center"/>
    </xf>
    <xf borderId="11" fillId="3" fontId="17" numFmtId="0" xfId="0" applyAlignment="1" applyBorder="1" applyFont="1">
      <alignment readingOrder="0" vertical="center"/>
    </xf>
    <xf borderId="11" fillId="0" fontId="17" numFmtId="168" xfId="0" applyAlignment="1" applyBorder="1" applyFont="1" applyNumberFormat="1">
      <alignment horizontal="center" readingOrder="0" vertical="center"/>
    </xf>
    <xf borderId="11" fillId="4" fontId="17" numFmtId="0" xfId="0" applyAlignment="1" applyBorder="1" applyFont="1">
      <alignment horizontal="center" readingOrder="0" vertical="center"/>
    </xf>
    <xf borderId="19" fillId="3" fontId="17" numFmtId="10" xfId="0" applyAlignment="1" applyBorder="1" applyFont="1" applyNumberFormat="1">
      <alignment horizontal="center" vertical="center"/>
    </xf>
    <xf borderId="0" fillId="5" fontId="15" numFmtId="0" xfId="0" applyAlignment="1" applyFont="1">
      <alignment horizontal="left" shrinkToFit="0" vertical="center" wrapText="1"/>
    </xf>
    <xf borderId="0" fillId="3" fontId="17" numFmtId="10" xfId="0" applyAlignment="1" applyFont="1" applyNumberFormat="1">
      <alignment horizontal="center" vertical="center"/>
    </xf>
    <xf borderId="20" fillId="5" fontId="15" numFmtId="0" xfId="0" applyAlignment="1" applyBorder="1" applyFont="1">
      <alignment horizontal="center" shrinkToFit="0" vertical="center" wrapText="1"/>
    </xf>
    <xf borderId="15" fillId="5" fontId="19" numFmtId="0" xfId="0" applyBorder="1" applyFont="1"/>
    <xf borderId="11" fillId="3" fontId="15" numFmtId="0" xfId="0" applyAlignment="1" applyBorder="1" applyFont="1">
      <alignment horizontal="left"/>
    </xf>
    <xf borderId="11" fillId="3" fontId="17" numFmtId="168" xfId="0" applyAlignment="1" applyBorder="1" applyFont="1" applyNumberFormat="1">
      <alignment horizontal="right"/>
    </xf>
    <xf borderId="11" fillId="3" fontId="17" numFmtId="2" xfId="0" applyBorder="1" applyFont="1" applyNumberFormat="1"/>
    <xf borderId="17" fillId="3" fontId="15" numFmtId="2" xfId="0" applyBorder="1" applyFont="1" applyNumberFormat="1"/>
    <xf borderId="21" fillId="0" fontId="32" numFmtId="0" xfId="0" applyAlignment="1" applyBorder="1" applyFont="1">
      <alignment horizontal="left"/>
    </xf>
    <xf borderId="21" fillId="0" fontId="17" numFmtId="172" xfId="0" applyAlignment="1" applyBorder="1" applyFont="1" applyNumberFormat="1">
      <alignment horizontal="center"/>
    </xf>
    <xf borderId="21" fillId="0" fontId="17" numFmtId="0" xfId="0" applyAlignment="1" applyBorder="1" applyFont="1">
      <alignment horizontal="center"/>
    </xf>
    <xf borderId="21" fillId="0" fontId="32" numFmtId="171" xfId="0" applyAlignment="1" applyBorder="1" applyFont="1" applyNumberFormat="1">
      <alignment horizontal="right"/>
    </xf>
    <xf borderId="11" fillId="3" fontId="15" numFmtId="2" xfId="0" applyBorder="1" applyFont="1" applyNumberFormat="1"/>
    <xf borderId="21" fillId="0" fontId="19" numFmtId="0" xfId="0" applyAlignment="1" applyBorder="1" applyFont="1">
      <alignment horizontal="left"/>
    </xf>
    <xf borderId="22" fillId="0" fontId="17" numFmtId="171" xfId="0" applyAlignment="1" applyBorder="1" applyFont="1" applyNumberFormat="1">
      <alignment horizontal="right"/>
    </xf>
    <xf borderId="23" fillId="3" fontId="15" numFmtId="10" xfId="0" applyBorder="1" applyFont="1" applyNumberFormat="1"/>
    <xf borderId="12" fillId="5" fontId="15" numFmtId="0" xfId="0" applyAlignment="1" applyBorder="1" applyFont="1">
      <alignment horizontal="left" shrinkToFit="0" vertical="center" wrapText="1"/>
    </xf>
    <xf borderId="20" fillId="0" fontId="17" numFmtId="171" xfId="0" applyAlignment="1" applyBorder="1" applyFont="1" applyNumberFormat="1">
      <alignment horizontal="right"/>
    </xf>
    <xf borderId="21" fillId="0" fontId="15" numFmtId="0" xfId="0" applyBorder="1" applyFont="1"/>
    <xf borderId="12" fillId="3" fontId="17" numFmtId="2" xfId="0" applyBorder="1" applyFont="1" applyNumberFormat="1"/>
    <xf borderId="22" fillId="0" fontId="32" numFmtId="0" xfId="0" applyAlignment="1" applyBorder="1" applyFont="1">
      <alignment horizontal="left"/>
    </xf>
    <xf borderId="22" fillId="0" fontId="17" numFmtId="172" xfId="0" applyAlignment="1" applyBorder="1" applyFont="1" applyNumberFormat="1">
      <alignment horizontal="center"/>
    </xf>
    <xf borderId="22" fillId="0" fontId="17" numFmtId="0" xfId="0" applyAlignment="1" applyBorder="1" applyFont="1">
      <alignment horizontal="center"/>
    </xf>
    <xf borderId="22" fillId="0" fontId="32" numFmtId="171" xfId="0" applyAlignment="1" applyBorder="1" applyFont="1" applyNumberFormat="1">
      <alignment horizontal="right"/>
    </xf>
    <xf borderId="24" fillId="0" fontId="42" numFmtId="0" xfId="0" applyBorder="1" applyFont="1"/>
    <xf borderId="24" fillId="0" fontId="17" numFmtId="0" xfId="0" applyBorder="1" applyFont="1"/>
    <xf borderId="16" fillId="3" fontId="17" numFmtId="172" xfId="0" applyAlignment="1" applyBorder="1" applyFont="1" applyNumberFormat="1">
      <alignment horizontal="center"/>
    </xf>
    <xf borderId="16" fillId="3" fontId="17" numFmtId="0" xfId="0" applyAlignment="1" applyBorder="1" applyFont="1">
      <alignment horizontal="center"/>
    </xf>
    <xf borderId="11" fillId="0" fontId="17" numFmtId="168" xfId="0" applyAlignment="1" applyBorder="1" applyFont="1" applyNumberFormat="1">
      <alignment horizontal="right" readingOrder="0"/>
    </xf>
    <xf borderId="11" fillId="3" fontId="17" numFmtId="0" xfId="0" applyAlignment="1" applyBorder="1" applyFont="1">
      <alignment horizontal="left" vertical="center"/>
    </xf>
    <xf borderId="11" fillId="3" fontId="17" numFmtId="0" xfId="0" applyAlignment="1" applyBorder="1" applyFont="1">
      <alignment horizontal="center" readingOrder="0" vertical="center"/>
    </xf>
    <xf borderId="25" fillId="0" fontId="17" numFmtId="0" xfId="0" applyAlignment="1" applyBorder="1" applyFont="1">
      <alignment horizontal="center" readingOrder="0"/>
    </xf>
    <xf borderId="11" fillId="3" fontId="17" numFmtId="0" xfId="0" applyAlignment="1" applyBorder="1" applyFont="1">
      <alignment horizontal="center" readingOrder="0"/>
    </xf>
    <xf borderId="11" fillId="3" fontId="17" numFmtId="0" xfId="0" applyAlignment="1" applyBorder="1" applyFont="1">
      <alignment horizontal="center"/>
    </xf>
    <xf borderId="11" fillId="3" fontId="15" numFmtId="0" xfId="0" applyAlignment="1" applyBorder="1" applyFont="1">
      <alignment horizontal="left" vertical="center"/>
    </xf>
    <xf borderId="11" fillId="3" fontId="17" numFmtId="2" xfId="0" applyAlignment="1" applyBorder="1" applyFont="1" applyNumberFormat="1">
      <alignment vertical="center"/>
    </xf>
    <xf borderId="12" fillId="3" fontId="17" numFmtId="2" xfId="0" applyAlignment="1" applyBorder="1" applyFont="1" applyNumberFormat="1">
      <alignment vertical="center"/>
    </xf>
    <xf borderId="11" fillId="3" fontId="15" numFmtId="2" xfId="0" applyAlignment="1" applyBorder="1" applyFont="1" applyNumberFormat="1">
      <alignment vertical="center"/>
    </xf>
    <xf borderId="11" fillId="0" fontId="17" numFmtId="0" xfId="0" applyAlignment="1" applyBorder="1" applyFont="1">
      <alignment horizontal="center" readingOrder="0"/>
    </xf>
    <xf borderId="22" fillId="0" fontId="19" numFmtId="0" xfId="0" applyAlignment="1" applyBorder="1" applyFont="1">
      <alignment horizontal="left"/>
    </xf>
    <xf borderId="13" fillId="5" fontId="15" numFmtId="0" xfId="0" applyAlignment="1" applyBorder="1" applyFont="1">
      <alignment horizontal="center"/>
    </xf>
    <xf borderId="12" fillId="3" fontId="15" numFmtId="0" xfId="0" applyAlignment="1" applyBorder="1" applyFont="1">
      <alignment readingOrder="0"/>
    </xf>
    <xf borderId="16" fillId="3" fontId="15" numFmtId="0" xfId="0" applyBorder="1" applyFont="1"/>
    <xf borderId="13" fillId="4" fontId="48" numFmtId="168" xfId="0" applyAlignment="1" applyBorder="1" applyFont="1" applyNumberFormat="1">
      <alignment horizontal="center" readingOrder="0"/>
    </xf>
    <xf borderId="13" fillId="4" fontId="15" numFmtId="168" xfId="0" applyAlignment="1" applyBorder="1" applyFont="1" applyNumberFormat="1">
      <alignment horizontal="center" readingOrder="0"/>
    </xf>
    <xf borderId="12" fillId="3" fontId="15" numFmtId="0" xfId="0" applyBorder="1" applyFont="1"/>
    <xf borderId="11" fillId="3" fontId="17" numFmtId="167" xfId="0" applyAlignment="1" applyBorder="1" applyFont="1" applyNumberFormat="1">
      <alignment horizontal="right"/>
    </xf>
    <xf borderId="16" fillId="5" fontId="19" numFmtId="0" xfId="0" applyBorder="1" applyFont="1"/>
    <xf borderId="13" fillId="5" fontId="19" numFmtId="168" xfId="0" applyAlignment="1" applyBorder="1" applyFont="1" applyNumberFormat="1">
      <alignment horizontal="center"/>
    </xf>
    <xf borderId="26" fillId="5" fontId="32" numFmtId="168" xfId="0" applyAlignment="1" applyBorder="1" applyFont="1" applyNumberFormat="1">
      <alignment horizontal="center"/>
    </xf>
    <xf borderId="11" fillId="4" fontId="25" numFmtId="0" xfId="0" applyAlignment="1" applyBorder="1" applyFont="1">
      <alignment readingOrder="0"/>
    </xf>
    <xf borderId="11" fillId="4" fontId="17" numFmtId="168" xfId="0" applyAlignment="1" applyBorder="1" applyFont="1" applyNumberFormat="1">
      <alignment horizontal="left" readingOrder="0"/>
    </xf>
    <xf borderId="11" fillId="4" fontId="17" numFmtId="0" xfId="0" applyAlignment="1" applyBorder="1" applyFont="1">
      <alignment horizontal="center" readingOrder="0"/>
    </xf>
    <xf borderId="11" fillId="4" fontId="25" numFmtId="0" xfId="0" applyAlignment="1" applyBorder="1" applyFont="1">
      <alignment vertical="center"/>
    </xf>
    <xf borderId="11" fillId="4" fontId="25" numFmtId="0" xfId="0" applyBorder="1" applyFont="1"/>
    <xf borderId="11" fillId="0" fontId="25" numFmtId="0" xfId="0" applyBorder="1" applyFont="1"/>
    <xf borderId="11" fillId="0" fontId="17" numFmtId="168" xfId="0" applyAlignment="1" applyBorder="1" applyFont="1" applyNumberFormat="1">
      <alignment horizontal="left"/>
    </xf>
    <xf borderId="11" fillId="4" fontId="17" numFmtId="0" xfId="0" applyAlignment="1" applyBorder="1" applyFont="1">
      <alignment horizontal="center"/>
    </xf>
    <xf borderId="11" fillId="0" fontId="25" numFmtId="0" xfId="0" applyAlignment="1" applyBorder="1" applyFont="1">
      <alignment horizontal="left"/>
    </xf>
    <xf borderId="11" fillId="0" fontId="17" numFmtId="0" xfId="0" applyAlignment="1" applyBorder="1" applyFont="1">
      <alignment horizontal="left"/>
    </xf>
    <xf borderId="15" fillId="5" fontId="19" numFmtId="0" xfId="0" applyAlignment="1" applyBorder="1" applyFont="1">
      <alignment horizontal="center"/>
    </xf>
    <xf borderId="27" fillId="5" fontId="32" numFmtId="0" xfId="0" applyBorder="1" applyFont="1"/>
    <xf borderId="28" fillId="5" fontId="20" numFmtId="0" xfId="0" applyAlignment="1" applyBorder="1" applyFont="1">
      <alignment horizontal="right"/>
    </xf>
    <xf borderId="29" fillId="5" fontId="19" numFmtId="0" xfId="0" applyAlignment="1" applyBorder="1" applyFont="1">
      <alignment horizontal="center"/>
    </xf>
    <xf borderId="23" fillId="5" fontId="19" numFmtId="168" xfId="0" applyAlignment="1" applyBorder="1" applyFont="1" applyNumberFormat="1">
      <alignment horizontal="center"/>
    </xf>
    <xf borderId="21" fillId="0" fontId="17" numFmtId="0" xfId="0" applyAlignment="1" applyBorder="1" applyFont="1">
      <alignment horizontal="left"/>
    </xf>
    <xf borderId="22" fillId="0" fontId="17" numFmtId="0" xfId="0" applyAlignment="1" applyBorder="1" applyFont="1">
      <alignment horizontal="left"/>
    </xf>
    <xf borderId="0" fillId="0" fontId="49" numFmtId="172" xfId="0" applyAlignment="1" applyFont="1" applyNumberFormat="1">
      <alignment horizontal="center"/>
    </xf>
    <xf borderId="0" fillId="0" fontId="17" numFmtId="0" xfId="0" applyAlignment="1" applyFont="1">
      <alignment horizontal="center"/>
    </xf>
    <xf borderId="12" fillId="3" fontId="17" numFmtId="0" xfId="0" applyAlignment="1" applyBorder="1" applyFont="1">
      <alignment horizontal="left"/>
    </xf>
    <xf borderId="15" fillId="3" fontId="17" numFmtId="0" xfId="0" applyAlignment="1" applyBorder="1" applyFont="1">
      <alignment horizontal="center"/>
    </xf>
    <xf borderId="11" fillId="3" fontId="17" numFmtId="166" xfId="0" applyAlignment="1" applyBorder="1" applyFont="1" applyNumberFormat="1">
      <alignment horizontal="center"/>
    </xf>
    <xf borderId="24" fillId="0" fontId="17" numFmtId="0" xfId="0" applyAlignment="1" applyBorder="1" applyFont="1">
      <alignment horizontal="left"/>
    </xf>
    <xf borderId="24" fillId="0" fontId="17" numFmtId="172" xfId="0" applyAlignment="1" applyBorder="1" applyFont="1" applyNumberFormat="1">
      <alignment horizontal="center"/>
    </xf>
    <xf borderId="24" fillId="0" fontId="17" numFmtId="0" xfId="0" applyAlignment="1" applyBorder="1" applyFont="1">
      <alignment horizontal="center"/>
    </xf>
    <xf borderId="11" fillId="0" fontId="32" numFmtId="168" xfId="0" applyAlignment="1" applyBorder="1" applyFont="1" applyNumberFormat="1">
      <alignment horizontal="center" readingOrder="0"/>
    </xf>
    <xf borderId="0" fillId="0" fontId="32" numFmtId="168" xfId="0" applyAlignment="1" applyFont="1" applyNumberFormat="1">
      <alignment horizontal="center"/>
    </xf>
    <xf borderId="0" fillId="0" fontId="17" numFmtId="172" xfId="0" applyFont="1" applyNumberFormat="1"/>
    <xf borderId="0" fillId="0" fontId="50" numFmtId="164" xfId="0" applyAlignment="1" applyFont="1" applyNumberFormat="1">
      <alignment horizontal="left"/>
    </xf>
    <xf borderId="11" fillId="3" fontId="15" numFmtId="168" xfId="0" applyAlignment="1" applyBorder="1" applyFont="1" applyNumberFormat="1">
      <alignment horizontal="right"/>
    </xf>
    <xf borderId="0" fillId="0" fontId="15" numFmtId="168" xfId="0" applyAlignment="1" applyFont="1" applyNumberFormat="1">
      <alignment horizontal="right"/>
    </xf>
    <xf borderId="11" fillId="3" fontId="15" numFmtId="0" xfId="0" applyAlignment="1" applyBorder="1" applyFont="1">
      <alignment readingOrder="0"/>
    </xf>
    <xf borderId="30" fillId="3" fontId="15" numFmtId="168" xfId="0" applyAlignment="1" applyBorder="1" applyFont="1" applyNumberFormat="1">
      <alignment horizontal="right"/>
    </xf>
    <xf borderId="30" fillId="3" fontId="15" numFmtId="168" xfId="0" applyAlignment="1" applyBorder="1" applyFont="1" applyNumberFormat="1">
      <alignment horizontal="right" readingOrder="0"/>
    </xf>
    <xf borderId="23" fillId="3" fontId="15" numFmtId="168" xfId="0" applyAlignment="1" applyBorder="1" applyFont="1" applyNumberFormat="1">
      <alignment horizontal="right"/>
    </xf>
    <xf borderId="0" fillId="0" fontId="20" numFmtId="168" xfId="0" applyFont="1" applyNumberFormat="1"/>
    <xf borderId="11" fillId="5" fontId="19" numFmtId="168" xfId="0" applyBorder="1" applyFont="1" applyNumberFormat="1"/>
    <xf borderId="11" fillId="5" fontId="19" numFmtId="168" xfId="0" applyAlignment="1" applyBorder="1" applyFont="1" applyNumberFormat="1">
      <alignment horizontal="right"/>
    </xf>
    <xf borderId="17" fillId="5" fontId="19" numFmtId="168" xfId="0" applyBorder="1" applyFont="1" applyNumberFormat="1"/>
    <xf borderId="17" fillId="5" fontId="19" numFmtId="168" xfId="0" applyAlignment="1" applyBorder="1" applyFont="1" applyNumberFormat="1">
      <alignment horizontal="right"/>
    </xf>
    <xf borderId="1" fillId="9" fontId="51" numFmtId="168" xfId="0" applyAlignment="1" applyBorder="1" applyFont="1" applyNumberFormat="1">
      <alignment horizontal="left"/>
    </xf>
    <xf borderId="1" fillId="9" fontId="51" numFmtId="168" xfId="0" applyAlignment="1" applyBorder="1" applyFont="1" applyNumberFormat="1">
      <alignment horizontal="left" readingOrder="0"/>
    </xf>
    <xf borderId="1" fillId="10" fontId="15" numFmtId="0" xfId="0" applyBorder="1" applyFill="1" applyFont="1"/>
    <xf borderId="11" fillId="5" fontId="15" numFmtId="168" xfId="0" applyAlignment="1" applyBorder="1" applyFont="1" applyNumberFormat="1">
      <alignment horizontal="left"/>
    </xf>
    <xf borderId="11" fillId="5" fontId="15" numFmtId="168" xfId="0" applyAlignment="1" applyBorder="1" applyFont="1" applyNumberFormat="1">
      <alignment horizontal="right"/>
    </xf>
    <xf borderId="11" fillId="5" fontId="17" numFmtId="168" xfId="0" applyBorder="1" applyFont="1" applyNumberFormat="1"/>
    <xf borderId="11" fillId="5" fontId="19" numFmtId="168" xfId="0" applyAlignment="1" applyBorder="1" applyFont="1" applyNumberFormat="1">
      <alignment horizontal="left"/>
    </xf>
    <xf borderId="11" fillId="3" fontId="15" numFmtId="0" xfId="0" applyAlignment="1" applyBorder="1" applyFont="1">
      <alignment shrinkToFit="0" vertical="top" wrapText="1"/>
    </xf>
    <xf borderId="11" fillId="3" fontId="15" numFmtId="0" xfId="0" applyAlignment="1" applyBorder="1" applyFont="1">
      <alignment horizontal="left" shrinkToFit="0" vertical="top" wrapText="1"/>
    </xf>
    <xf borderId="11" fillId="3" fontId="15" numFmtId="174" xfId="0" applyAlignment="1" applyBorder="1" applyFont="1" applyNumberFormat="1">
      <alignment shrinkToFit="0" vertical="top" wrapText="1"/>
    </xf>
    <xf borderId="31" fillId="0" fontId="15" numFmtId="175" xfId="0" applyAlignment="1" applyBorder="1" applyFont="1" applyNumberFormat="1">
      <alignment shrinkToFit="0" vertical="top" wrapText="1"/>
    </xf>
    <xf borderId="11" fillId="5" fontId="15" numFmtId="174" xfId="0" applyAlignment="1" applyBorder="1" applyFont="1" applyNumberFormat="1">
      <alignment shrinkToFit="0" vertical="top" wrapText="1"/>
    </xf>
    <xf borderId="11" fillId="5" fontId="15" numFmtId="168" xfId="0" applyAlignment="1" applyBorder="1" applyFont="1" applyNumberFormat="1">
      <alignment shrinkToFit="0" vertical="top" wrapText="1"/>
    </xf>
    <xf borderId="30" fillId="0" fontId="15" numFmtId="168" xfId="0" applyAlignment="1" applyBorder="1" applyFont="1" applyNumberFormat="1">
      <alignment horizontal="center" shrinkToFit="0" vertical="top" wrapText="1"/>
    </xf>
    <xf borderId="15" fillId="3" fontId="15" numFmtId="168" xfId="0" applyAlignment="1" applyBorder="1" applyFont="1" applyNumberFormat="1">
      <alignment horizontal="right"/>
    </xf>
    <xf borderId="1" fillId="11" fontId="15" numFmtId="0" xfId="0" applyBorder="1" applyFill="1" applyFont="1"/>
    <xf borderId="0" fillId="0" fontId="52" numFmtId="0" xfId="0" applyFont="1"/>
    <xf borderId="0" fillId="0" fontId="53" numFmtId="10" xfId="0" applyFont="1" applyNumberFormat="1"/>
    <xf borderId="0" fillId="0" fontId="53" numFmtId="168" xfId="0" applyFont="1" applyNumberFormat="1"/>
    <xf borderId="0" fillId="0" fontId="53" numFmtId="176" xfId="0" applyFont="1" applyNumberFormat="1"/>
    <xf borderId="0" fillId="0" fontId="53" numFmtId="0" xfId="0" applyFont="1"/>
    <xf borderId="12" fillId="3" fontId="17" numFmtId="168" xfId="0" applyAlignment="1" applyBorder="1" applyFont="1" applyNumberFormat="1">
      <alignment horizontal="center"/>
    </xf>
    <xf borderId="11" fillId="3" fontId="17" numFmtId="10" xfId="0" applyAlignment="1" applyBorder="1" applyFont="1" applyNumberFormat="1">
      <alignment horizontal="right"/>
    </xf>
    <xf borderId="30" fillId="3" fontId="17" numFmtId="0" xfId="0" applyAlignment="1" applyBorder="1" applyFont="1">
      <alignment horizontal="left" vertical="center"/>
    </xf>
    <xf borderId="30" fillId="0" fontId="17" numFmtId="168" xfId="0" applyAlignment="1" applyBorder="1" applyFont="1" applyNumberFormat="1">
      <alignment horizontal="center" shrinkToFit="0" vertical="center" wrapText="1"/>
    </xf>
    <xf borderId="30" fillId="3" fontId="17" numFmtId="10" xfId="0" applyAlignment="1" applyBorder="1" applyFont="1" applyNumberFormat="1">
      <alignment horizontal="right" vertical="center"/>
    </xf>
    <xf borderId="25" fillId="0" fontId="18" numFmtId="0" xfId="0" applyBorder="1" applyFont="1"/>
    <xf borderId="21" fillId="0" fontId="17" numFmtId="0" xfId="0" applyBorder="1" applyFont="1"/>
    <xf borderId="24" fillId="0" fontId="15" numFmtId="0" xfId="0" applyAlignment="1" applyBorder="1" applyFont="1">
      <alignment horizontal="center" shrinkToFit="0" vertical="center" wrapText="1"/>
    </xf>
    <xf borderId="0" fillId="0" fontId="53" numFmtId="9" xfId="0" applyFont="1" applyNumberFormat="1"/>
    <xf borderId="11" fillId="5" fontId="32" numFmtId="0" xfId="0" applyBorder="1" applyFont="1"/>
    <xf borderId="11" fillId="5" fontId="32" numFmtId="168" xfId="0" applyBorder="1" applyFont="1" applyNumberFormat="1"/>
    <xf borderId="15" fillId="5" fontId="32" numFmtId="168" xfId="0" applyBorder="1" applyFont="1" applyNumberFormat="1"/>
    <xf borderId="11" fillId="5" fontId="32" numFmtId="9" xfId="0" applyBorder="1" applyFont="1" applyNumberFormat="1"/>
    <xf borderId="0" fillId="0" fontId="32" numFmtId="168" xfId="0" applyFont="1" applyNumberFormat="1"/>
    <xf borderId="0" fillId="0" fontId="17" numFmtId="177" xfId="0" applyAlignment="1" applyFont="1" applyNumberFormat="1">
      <alignment horizontal="center"/>
    </xf>
    <xf borderId="0" fillId="0" fontId="17" numFmtId="178" xfId="0" applyAlignment="1" applyFont="1" applyNumberFormat="1">
      <alignment horizontal="center"/>
    </xf>
    <xf borderId="11" fillId="3" fontId="17" numFmtId="10" xfId="0" applyAlignment="1" applyBorder="1" applyFont="1" applyNumberFormat="1">
      <alignment horizontal="right" vertical="center"/>
    </xf>
    <xf borderId="12" fillId="3" fontId="17" numFmtId="0" xfId="0" applyAlignment="1" applyBorder="1" applyFont="1">
      <alignment horizontal="center" shrinkToFit="0" wrapText="1"/>
    </xf>
    <xf borderId="0" fillId="0" fontId="54" numFmtId="0" xfId="0" applyFont="1"/>
    <xf borderId="32" fillId="0" fontId="2" numFmtId="0" xfId="0" applyBorder="1" applyFont="1"/>
    <xf borderId="32" fillId="0" fontId="17" numFmtId="0" xfId="0" applyBorder="1" applyFont="1"/>
    <xf borderId="32" fillId="0" fontId="15" numFmtId="0" xfId="0" applyBorder="1" applyFont="1"/>
    <xf borderId="33" fillId="0" fontId="2" numFmtId="0" xfId="0" applyBorder="1" applyFont="1"/>
    <xf borderId="33" fillId="0" fontId="2" numFmtId="0" xfId="0" applyAlignment="1" applyBorder="1" applyFont="1">
      <alignment horizontal="left"/>
    </xf>
    <xf borderId="33" fillId="0" fontId="15" numFmtId="0" xfId="0" applyBorder="1" applyFont="1"/>
    <xf borderId="33" fillId="0" fontId="2" numFmtId="0" xfId="0" applyAlignment="1" applyBorder="1" applyFont="1">
      <alignment readingOrder="0"/>
    </xf>
    <xf borderId="33" fillId="0" fontId="15" numFmtId="0" xfId="0" applyAlignment="1" applyBorder="1" applyFont="1">
      <alignment horizontal="left"/>
    </xf>
    <xf borderId="33" fillId="0" fontId="2" numFmtId="10" xfId="0" applyBorder="1" applyFont="1" applyNumberFormat="1"/>
    <xf borderId="33" fillId="0" fontId="17" numFmtId="0" xfId="0" applyBorder="1" applyFont="1"/>
    <xf borderId="33" fillId="0" fontId="17" numFmtId="10" xfId="0" applyBorder="1" applyFont="1" applyNumberFormat="1"/>
    <xf borderId="0" fillId="0" fontId="17" numFmtId="10" xfId="0" applyFont="1" applyNumberFormat="1"/>
    <xf borderId="34" fillId="0" fontId="55" numFmtId="164" xfId="0" applyAlignment="1" applyBorder="1" applyFont="1" applyNumberFormat="1">
      <alignment horizontal="left"/>
    </xf>
    <xf borderId="22" fillId="0" fontId="15" numFmtId="0" xfId="0" applyBorder="1" applyFont="1"/>
    <xf borderId="35" fillId="0" fontId="15" numFmtId="0" xfId="0" applyBorder="1" applyFont="1"/>
    <xf borderId="31" fillId="0" fontId="15" numFmtId="0" xfId="0" applyBorder="1" applyFont="1"/>
    <xf borderId="36" fillId="0" fontId="15" numFmtId="0" xfId="0" applyBorder="1" applyFont="1"/>
    <xf borderId="31" fillId="0" fontId="32" numFmtId="0" xfId="0" applyAlignment="1" applyBorder="1" applyFont="1">
      <alignment horizontal="center"/>
    </xf>
    <xf borderId="1" fillId="3" fontId="17" numFmtId="0" xfId="0" applyBorder="1" applyFont="1"/>
    <xf borderId="1" fillId="3" fontId="17" numFmtId="168" xfId="0" applyBorder="1" applyFont="1" applyNumberFormat="1"/>
    <xf borderId="1" fillId="3" fontId="17" numFmtId="0" xfId="0" applyAlignment="1" applyBorder="1" applyFont="1">
      <alignment readingOrder="0"/>
    </xf>
    <xf borderId="36" fillId="0" fontId="17" numFmtId="168" xfId="0" applyBorder="1" applyFont="1" applyNumberFormat="1"/>
    <xf borderId="36" fillId="0" fontId="17" numFmtId="0" xfId="0" applyBorder="1" applyFont="1"/>
    <xf borderId="0" fillId="0" fontId="32" numFmtId="179" xfId="0" applyFont="1" applyNumberFormat="1"/>
    <xf borderId="0" fillId="0" fontId="2" numFmtId="168" xfId="0" applyFont="1" applyNumberFormat="1"/>
    <xf borderId="0" fillId="0" fontId="2" numFmtId="176" xfId="0" applyFont="1" applyNumberFormat="1"/>
    <xf borderId="20" fillId="0" fontId="32" numFmtId="0" xfId="0" applyAlignment="1" applyBorder="1" applyFont="1">
      <alignment horizontal="center"/>
    </xf>
    <xf borderId="24" fillId="0" fontId="2" numFmtId="0" xfId="0" applyBorder="1" applyFont="1"/>
    <xf borderId="24" fillId="0" fontId="32" numFmtId="179" xfId="0" applyBorder="1" applyFont="1" applyNumberFormat="1"/>
    <xf borderId="37" fillId="0" fontId="17" numFmtId="0" xfId="0" applyBorder="1" applyFont="1"/>
    <xf borderId="33" fillId="0" fontId="17" numFmtId="2" xfId="0" applyBorder="1" applyFont="1" applyNumberFormat="1"/>
    <xf borderId="33" fillId="0" fontId="15" numFmtId="0" xfId="0" applyAlignment="1" applyBorder="1" applyFont="1">
      <alignment horizontal="left" shrinkToFit="0" vertical="center" wrapText="1"/>
    </xf>
    <xf borderId="33" fillId="0" fontId="17" numFmtId="168" xfId="0" applyBorder="1" applyFont="1" applyNumberFormat="1"/>
    <xf borderId="33" fillId="0" fontId="15" numFmtId="0" xfId="0" applyAlignment="1" applyBorder="1" applyFont="1">
      <alignment horizontal="center" shrinkToFit="0" vertical="center" wrapText="1"/>
    </xf>
    <xf borderId="33" fillId="0" fontId="17" numFmtId="1" xfId="0" applyBorder="1" applyFont="1" applyNumberFormat="1"/>
    <xf borderId="33" fillId="0" fontId="17" numFmtId="166" xfId="0" applyBorder="1" applyFont="1" applyNumberFormat="1"/>
    <xf borderId="33" fillId="0" fontId="15" numFmtId="1" xfId="0" applyAlignment="1" applyBorder="1" applyFont="1" applyNumberFormat="1">
      <alignment horizontal="center" shrinkToFit="0" vertical="center" wrapText="1"/>
    </xf>
    <xf borderId="33" fillId="0" fontId="20" numFmtId="0" xfId="0" applyAlignment="1" applyBorder="1" applyFont="1">
      <alignment horizontal="center"/>
    </xf>
    <xf borderId="33" fillId="0" fontId="20" numFmtId="166" xfId="0" applyBorder="1" applyFont="1" applyNumberFormat="1"/>
    <xf borderId="33" fillId="0" fontId="20" numFmtId="168" xfId="0" applyBorder="1" applyFont="1" applyNumberFormat="1"/>
    <xf borderId="33" fillId="0" fontId="17" numFmtId="0" xfId="0" applyAlignment="1" applyBorder="1" applyFont="1">
      <alignment readingOrder="0"/>
    </xf>
    <xf borderId="33" fillId="0" fontId="15" numFmtId="0" xfId="0" applyAlignment="1" applyBorder="1" applyFont="1">
      <alignment horizontal="center" readingOrder="0"/>
    </xf>
    <xf borderId="33" fillId="0" fontId="15" numFmtId="166" xfId="0" applyAlignment="1" applyBorder="1" applyFont="1" applyNumberFormat="1">
      <alignment readingOrder="0"/>
    </xf>
    <xf borderId="23" fillId="5" fontId="15" numFmtId="0" xfId="0" applyAlignment="1" applyBorder="1" applyFont="1">
      <alignment horizontal="center" shrinkToFit="0" vertical="center" wrapText="1"/>
    </xf>
    <xf borderId="23" fillId="5" fontId="19" numFmtId="0" xfId="0" applyAlignment="1" applyBorder="1" applyFont="1">
      <alignment horizontal="center" shrinkToFit="0" vertical="center" wrapText="1"/>
    </xf>
    <xf borderId="12" fillId="5" fontId="32" numFmtId="0" xfId="0" applyAlignment="1" applyBorder="1" applyFont="1">
      <alignment horizontal="left"/>
    </xf>
    <xf borderId="11" fillId="5" fontId="32" numFmtId="168" xfId="0" applyAlignment="1" applyBorder="1" applyFont="1" applyNumberFormat="1">
      <alignment horizontal="right"/>
    </xf>
    <xf borderId="22" fillId="0" fontId="32" numFmtId="0" xfId="0" applyBorder="1" applyFont="1"/>
    <xf borderId="22" fillId="0" fontId="32" numFmtId="175" xfId="0" applyAlignment="1" applyBorder="1" applyFont="1" applyNumberFormat="1">
      <alignment horizontal="right"/>
    </xf>
    <xf borderId="16" fillId="3" fontId="17" numFmtId="166" xfId="0" applyBorder="1" applyFont="1" applyNumberFormat="1"/>
    <xf borderId="16" fillId="3" fontId="17" numFmtId="168" xfId="0" applyAlignment="1" applyBorder="1" applyFont="1" applyNumberFormat="1">
      <alignment horizontal="center"/>
    </xf>
    <xf borderId="16" fillId="3" fontId="17" numFmtId="168" xfId="0" applyAlignment="1" applyBorder="1" applyFont="1" applyNumberFormat="1">
      <alignment horizontal="right"/>
    </xf>
    <xf borderId="15" fillId="3" fontId="17" numFmtId="168" xfId="0" applyAlignment="1" applyBorder="1" applyFont="1" applyNumberFormat="1">
      <alignment horizontal="right"/>
    </xf>
    <xf borderId="1" fillId="2" fontId="15" numFmtId="0" xfId="0" applyAlignment="1" applyBorder="1" applyFont="1">
      <alignment vertical="center"/>
    </xf>
    <xf borderId="0" fillId="0" fontId="15" numFmtId="0" xfId="0" applyAlignment="1" applyFont="1">
      <alignment vertical="center"/>
    </xf>
    <xf borderId="12" fillId="5" fontId="32" numFmtId="0" xfId="0" applyAlignment="1" applyBorder="1" applyFont="1">
      <alignment horizontal="left" shrinkToFit="0" vertical="center" wrapText="1"/>
    </xf>
    <xf borderId="16" fillId="5" fontId="32" numFmtId="168" xfId="0" applyAlignment="1" applyBorder="1" applyFont="1" applyNumberFormat="1">
      <alignment horizontal="right" vertical="center"/>
    </xf>
    <xf borderId="15" fillId="5" fontId="32" numFmtId="168" xfId="0" applyAlignment="1" applyBorder="1" applyFont="1" applyNumberFormat="1">
      <alignment horizontal="right" vertical="center"/>
    </xf>
    <xf borderId="0" fillId="0" fontId="17" numFmtId="0" xfId="0" applyAlignment="1" applyFont="1">
      <alignment vertical="center"/>
    </xf>
    <xf borderId="1" fillId="2" fontId="17" numFmtId="0" xfId="0" applyAlignment="1" applyBorder="1" applyFont="1">
      <alignment vertical="center"/>
    </xf>
    <xf borderId="0" fillId="0" fontId="32" numFmtId="0" xfId="0" applyAlignment="1" applyFont="1">
      <alignment horizontal="left"/>
    </xf>
    <xf borderId="0" fillId="0" fontId="32" numFmtId="175" xfId="0" applyAlignment="1" applyFont="1" applyNumberFormat="1">
      <alignment horizontal="right"/>
    </xf>
    <xf borderId="16" fillId="3" fontId="17" numFmtId="166" xfId="0" applyAlignment="1" applyBorder="1" applyFont="1" applyNumberFormat="1">
      <alignment horizontal="center"/>
    </xf>
    <xf borderId="16" fillId="3" fontId="17" numFmtId="9" xfId="0" applyAlignment="1" applyBorder="1" applyFont="1" applyNumberFormat="1">
      <alignment horizontal="center"/>
    </xf>
    <xf borderId="12" fillId="3" fontId="17" numFmtId="0" xfId="0" applyAlignment="1" applyBorder="1" applyFont="1">
      <alignment horizontal="left" readingOrder="0"/>
    </xf>
    <xf borderId="12" fillId="5" fontId="32" numFmtId="0" xfId="0" applyAlignment="1" applyBorder="1" applyFont="1">
      <alignment horizontal="left" readingOrder="0" shrinkToFit="0" vertical="center" wrapText="1"/>
    </xf>
    <xf borderId="0" fillId="0" fontId="32" numFmtId="0" xfId="0" applyAlignment="1" applyFont="1">
      <alignment horizontal="left" shrinkToFit="0" vertical="center" wrapText="1"/>
    </xf>
    <xf borderId="0" fillId="0" fontId="32" numFmtId="0" xfId="0" applyAlignment="1" applyFont="1">
      <alignment vertical="center"/>
    </xf>
    <xf borderId="0" fillId="0" fontId="32" numFmtId="168" xfId="0" applyAlignment="1" applyFont="1" applyNumberFormat="1">
      <alignment horizontal="right" vertical="center"/>
    </xf>
    <xf borderId="0" fillId="0" fontId="32" numFmtId="167" xfId="0" applyAlignment="1" applyFont="1" applyNumberFormat="1">
      <alignment vertical="center"/>
    </xf>
    <xf borderId="0" fillId="0" fontId="32" numFmtId="166" xfId="0" applyAlignment="1" applyFont="1" applyNumberFormat="1">
      <alignment horizontal="left"/>
    </xf>
    <xf borderId="21" fillId="0" fontId="18" numFmtId="0" xfId="0" applyBorder="1" applyFont="1"/>
    <xf borderId="38" fillId="5" fontId="19" numFmtId="0" xfId="0" applyAlignment="1" applyBorder="1" applyFont="1">
      <alignment horizontal="center" shrinkToFit="0" vertical="center" wrapText="1"/>
    </xf>
    <xf borderId="39" fillId="0" fontId="18" numFmtId="0" xfId="0" applyBorder="1" applyFont="1"/>
    <xf borderId="40" fillId="0" fontId="18" numFmtId="0" xfId="0" applyBorder="1" applyFont="1"/>
    <xf borderId="11" fillId="3" fontId="17" numFmtId="178" xfId="0" applyAlignment="1" applyBorder="1" applyFont="1" applyNumberFormat="1">
      <alignment horizontal="right"/>
    </xf>
    <xf borderId="11" fillId="3" fontId="32" numFmtId="10" xfId="0" applyAlignment="1" applyBorder="1" applyFont="1" applyNumberFormat="1">
      <alignment horizontal="right"/>
    </xf>
    <xf borderId="11" fillId="0" fontId="17" numFmtId="178" xfId="0" applyAlignment="1" applyBorder="1" applyFont="1" applyNumberFormat="1">
      <alignment horizontal="right"/>
    </xf>
    <xf borderId="11" fillId="0" fontId="32" numFmtId="10" xfId="0" applyAlignment="1" applyBorder="1" applyFont="1" applyNumberFormat="1">
      <alignment horizontal="right"/>
    </xf>
    <xf borderId="11" fillId="3" fontId="17" numFmtId="177" xfId="0" applyBorder="1" applyFont="1" applyNumberFormat="1"/>
    <xf borderId="11" fillId="3" fontId="32" numFmtId="177" xfId="0" applyBorder="1" applyFont="1" applyNumberFormat="1"/>
    <xf borderId="11" fillId="5" fontId="32" numFmtId="0" xfId="0" applyAlignment="1" applyBorder="1" applyFont="1">
      <alignment horizontal="left" shrinkToFit="0" vertical="center" wrapText="1"/>
    </xf>
    <xf borderId="11" fillId="5" fontId="32" numFmtId="178" xfId="0" applyAlignment="1" applyBorder="1" applyFont="1" applyNumberFormat="1">
      <alignment horizontal="right" shrinkToFit="0" vertical="center" wrapText="1"/>
    </xf>
    <xf borderId="11" fillId="5" fontId="32" numFmtId="10" xfId="0" applyAlignment="1" applyBorder="1" applyFont="1" applyNumberFormat="1">
      <alignment horizontal="right"/>
    </xf>
    <xf borderId="11" fillId="5" fontId="32" numFmtId="168" xfId="0" applyAlignment="1" applyBorder="1" applyFont="1" applyNumberFormat="1">
      <alignment horizontal="left" shrinkToFit="0" vertical="center" wrapText="1"/>
    </xf>
    <xf borderId="22" fillId="0" fontId="32" numFmtId="0" xfId="0" applyAlignment="1" applyBorder="1" applyFont="1">
      <alignment horizontal="left" shrinkToFit="0" vertical="center" wrapText="1"/>
    </xf>
    <xf borderId="22" fillId="0" fontId="32" numFmtId="178" xfId="0" applyAlignment="1" applyBorder="1" applyFont="1" applyNumberFormat="1">
      <alignment horizontal="right" shrinkToFit="0" vertical="center" wrapText="1"/>
    </xf>
    <xf borderId="22" fillId="0" fontId="32" numFmtId="10" xfId="0" applyAlignment="1" applyBorder="1" applyFont="1" applyNumberFormat="1">
      <alignment horizontal="right"/>
    </xf>
    <xf borderId="22" fillId="0" fontId="32" numFmtId="168" xfId="0" applyAlignment="1" applyBorder="1" applyFont="1" applyNumberFormat="1">
      <alignment horizontal="left" shrinkToFit="0" vertical="center" wrapText="1"/>
    </xf>
    <xf borderId="0" fillId="0" fontId="32" numFmtId="177" xfId="0" applyFont="1" applyNumberFormat="1"/>
    <xf borderId="0" fillId="0" fontId="32" numFmtId="178" xfId="0" applyAlignment="1" applyFont="1" applyNumberFormat="1">
      <alignment horizontal="right" shrinkToFit="0" vertical="center" wrapText="1"/>
    </xf>
    <xf borderId="0" fillId="0" fontId="32" numFmtId="10" xfId="0" applyAlignment="1" applyFont="1" applyNumberFormat="1">
      <alignment horizontal="right"/>
    </xf>
    <xf borderId="0" fillId="0" fontId="32" numFmtId="168" xfId="0" applyAlignment="1" applyFont="1" applyNumberFormat="1">
      <alignment horizontal="left" shrinkToFit="0" vertical="center" wrapText="1"/>
    </xf>
    <xf borderId="24" fillId="0" fontId="32" numFmtId="10" xfId="0" applyAlignment="1" applyBorder="1" applyFont="1" applyNumberFormat="1">
      <alignment horizontal="right"/>
    </xf>
    <xf borderId="15" fillId="3" fontId="32" numFmtId="10" xfId="0" applyAlignment="1" applyBorder="1" applyFont="1" applyNumberFormat="1">
      <alignment horizontal="right"/>
    </xf>
    <xf borderId="12" fillId="3" fontId="17" numFmtId="177" xfId="0" applyBorder="1" applyFont="1" applyNumberFormat="1"/>
    <xf borderId="12" fillId="3" fontId="32" numFmtId="0" xfId="0" applyAlignment="1" applyBorder="1" applyFont="1">
      <alignment horizontal="left" shrinkToFit="0" vertical="center" wrapText="1"/>
    </xf>
    <xf borderId="17" fillId="3" fontId="32" numFmtId="178" xfId="0" applyAlignment="1" applyBorder="1" applyFont="1" applyNumberFormat="1">
      <alignment horizontal="right" shrinkToFit="0" vertical="center" wrapText="1"/>
    </xf>
    <xf borderId="1" fillId="3" fontId="32" numFmtId="10" xfId="0" applyAlignment="1" applyBorder="1" applyFont="1" applyNumberFormat="1">
      <alignment horizontal="right"/>
    </xf>
    <xf borderId="17" fillId="3" fontId="32" numFmtId="0" xfId="0" applyAlignment="1" applyBorder="1" applyFont="1">
      <alignment horizontal="right"/>
    </xf>
    <xf borderId="12" fillId="3" fontId="32" numFmtId="178" xfId="0" applyAlignment="1" applyBorder="1" applyFont="1" applyNumberFormat="1">
      <alignment horizontal="right" shrinkToFit="0" vertical="center" wrapText="1"/>
    </xf>
    <xf borderId="12" fillId="3" fontId="32" numFmtId="0" xfId="0" applyAlignment="1" applyBorder="1" applyFont="1">
      <alignment horizontal="right"/>
    </xf>
    <xf borderId="27" fillId="12" fontId="32" numFmtId="0" xfId="0" applyAlignment="1" applyBorder="1" applyFill="1" applyFont="1">
      <alignment horizontal="left" shrinkToFit="0" vertical="center" wrapText="1"/>
    </xf>
    <xf borderId="23" fillId="12" fontId="32" numFmtId="178" xfId="0" applyAlignment="1" applyBorder="1" applyFont="1" applyNumberFormat="1">
      <alignment horizontal="right" shrinkToFit="0" vertical="center" wrapText="1"/>
    </xf>
    <xf borderId="28" fillId="12" fontId="32" numFmtId="10" xfId="0" applyAlignment="1" applyBorder="1" applyFont="1" applyNumberFormat="1">
      <alignment horizontal="right"/>
    </xf>
    <xf borderId="23" fillId="12" fontId="32" numFmtId="10" xfId="0" applyAlignment="1" applyBorder="1" applyFont="1" applyNumberFormat="1">
      <alignment horizontal="right"/>
    </xf>
    <xf borderId="29" fillId="12" fontId="32" numFmtId="10" xfId="0" applyAlignment="1" applyBorder="1" applyFont="1" applyNumberFormat="1">
      <alignment horizontal="right"/>
    </xf>
    <xf borderId="27" fillId="12" fontId="32" numFmtId="178" xfId="0" applyAlignment="1" applyBorder="1" applyFont="1" applyNumberFormat="1">
      <alignment horizontal="right" shrinkToFit="0" vertical="center" wrapText="1"/>
    </xf>
    <xf borderId="27" fillId="12" fontId="32" numFmtId="10" xfId="0" applyAlignment="1" applyBorder="1" applyFont="1" applyNumberFormat="1">
      <alignment horizontal="right"/>
    </xf>
    <xf borderId="11" fillId="12" fontId="32" numFmtId="177" xfId="0" applyBorder="1" applyFont="1" applyNumberFormat="1"/>
    <xf borderId="24" fillId="0" fontId="17" numFmtId="178" xfId="0" applyAlignment="1" applyBorder="1" applyFont="1" applyNumberFormat="1">
      <alignment horizontal="right"/>
    </xf>
    <xf borderId="17" fillId="3" fontId="17" numFmtId="0" xfId="0" applyBorder="1" applyFont="1"/>
    <xf borderId="20" fillId="0" fontId="17" numFmtId="178" xfId="0" applyAlignment="1" applyBorder="1" applyFont="1" applyNumberFormat="1">
      <alignment horizontal="right"/>
    </xf>
    <xf borderId="11" fillId="0" fontId="32" numFmtId="10" xfId="0" applyBorder="1" applyFont="1" applyNumberFormat="1"/>
    <xf borderId="41" fillId="3" fontId="17" numFmtId="178" xfId="0" applyAlignment="1" applyBorder="1" applyFont="1" applyNumberFormat="1">
      <alignment horizontal="right"/>
    </xf>
    <xf borderId="17" fillId="3" fontId="32" numFmtId="10" xfId="0" applyBorder="1" applyFont="1" applyNumberFormat="1"/>
    <xf borderId="17" fillId="3" fontId="17" numFmtId="178" xfId="0" applyAlignment="1" applyBorder="1" applyFont="1" applyNumberFormat="1">
      <alignment horizontal="right"/>
    </xf>
    <xf borderId="13" fillId="0" fontId="17" numFmtId="178" xfId="0" applyAlignment="1" applyBorder="1" applyFont="1" applyNumberFormat="1">
      <alignment horizontal="right"/>
    </xf>
    <xf borderId="14" fillId="0" fontId="17" numFmtId="178" xfId="0" applyAlignment="1" applyBorder="1" applyFont="1" applyNumberFormat="1">
      <alignment horizontal="right"/>
    </xf>
    <xf borderId="1" fillId="3" fontId="17" numFmtId="177" xfId="0" applyBorder="1" applyFont="1" applyNumberFormat="1"/>
    <xf borderId="27" fillId="12" fontId="32" numFmtId="168" xfId="0" applyAlignment="1" applyBorder="1" applyFont="1" applyNumberFormat="1">
      <alignment horizontal="left" shrinkToFit="0" vertical="center" wrapText="1"/>
    </xf>
    <xf borderId="23" fillId="12" fontId="32" numFmtId="10" xfId="0" applyBorder="1" applyFont="1" applyNumberFormat="1"/>
    <xf borderId="28" fillId="12" fontId="32" numFmtId="178" xfId="0" applyAlignment="1" applyBorder="1" applyFont="1" applyNumberFormat="1">
      <alignment horizontal="right" shrinkToFit="0" vertical="center" wrapText="1"/>
    </xf>
    <xf borderId="23" fillId="12" fontId="32" numFmtId="168" xfId="0" applyAlignment="1" applyBorder="1" applyFont="1" applyNumberFormat="1">
      <alignment horizontal="left" shrinkToFit="0" vertical="center" wrapText="1"/>
    </xf>
    <xf borderId="17" fillId="12" fontId="32" numFmtId="10" xfId="0" applyBorder="1" applyFont="1" applyNumberFormat="1"/>
    <xf borderId="22" fillId="0" fontId="32" numFmtId="10" xfId="0" applyBorder="1" applyFont="1" applyNumberFormat="1"/>
    <xf borderId="0" fillId="0" fontId="32" numFmtId="10" xfId="0" applyFont="1" applyNumberFormat="1"/>
    <xf borderId="23" fillId="3" fontId="17" numFmtId="0" xfId="0" applyBorder="1" applyFont="1"/>
    <xf borderId="12" fillId="3" fontId="17" numFmtId="178" xfId="0" applyAlignment="1" applyBorder="1" applyFont="1" applyNumberFormat="1">
      <alignment horizontal="right"/>
    </xf>
    <xf borderId="11" fillId="3" fontId="32" numFmtId="10" xfId="0" applyBorder="1" applyFont="1" applyNumberFormat="1"/>
    <xf borderId="16" fillId="3" fontId="17" numFmtId="178" xfId="0" applyAlignment="1" applyBorder="1" applyFont="1" applyNumberFormat="1">
      <alignment horizontal="right"/>
    </xf>
    <xf borderId="11" fillId="12" fontId="32" numFmtId="168" xfId="0" applyAlignment="1" applyBorder="1" applyFont="1" applyNumberFormat="1">
      <alignment horizontal="left" shrinkToFit="0" vertical="center" wrapText="1"/>
    </xf>
    <xf borderId="12" fillId="12" fontId="32" numFmtId="178" xfId="0" applyAlignment="1" applyBorder="1" applyFont="1" applyNumberFormat="1">
      <alignment horizontal="right" shrinkToFit="0" vertical="center" wrapText="1"/>
    </xf>
    <xf borderId="11" fillId="12" fontId="32" numFmtId="10" xfId="0" applyBorder="1" applyFont="1" applyNumberFormat="1"/>
    <xf borderId="15" fillId="12" fontId="32" numFmtId="10" xfId="0" applyAlignment="1" applyBorder="1" applyFont="1" applyNumberFormat="1">
      <alignment horizontal="right"/>
    </xf>
    <xf borderId="12" fillId="12" fontId="32" numFmtId="168" xfId="0" applyAlignment="1" applyBorder="1" applyFont="1" applyNumberFormat="1">
      <alignment horizontal="left" shrinkToFit="0" vertical="center" wrapText="1"/>
    </xf>
    <xf borderId="27" fillId="3" fontId="32" numFmtId="0" xfId="0" applyAlignment="1" applyBorder="1" applyFont="1">
      <alignment horizontal="left" shrinkToFit="0" vertical="center" wrapText="1"/>
    </xf>
    <xf borderId="27" fillId="3" fontId="32" numFmtId="178" xfId="0" applyAlignment="1" applyBorder="1" applyFont="1" applyNumberFormat="1">
      <alignment horizontal="right" shrinkToFit="0" vertical="center" wrapText="1"/>
    </xf>
    <xf borderId="23" fillId="3" fontId="32" numFmtId="10" xfId="0" applyBorder="1" applyFont="1" applyNumberFormat="1"/>
    <xf borderId="28" fillId="3" fontId="32" numFmtId="178" xfId="0" applyAlignment="1" applyBorder="1" applyFont="1" applyNumberFormat="1">
      <alignment horizontal="right" shrinkToFit="0" vertical="center" wrapText="1"/>
    </xf>
    <xf borderId="23" fillId="3" fontId="32" numFmtId="10" xfId="0" applyAlignment="1" applyBorder="1" applyFont="1" applyNumberFormat="1">
      <alignment horizontal="right"/>
    </xf>
    <xf borderId="27" fillId="3" fontId="32" numFmtId="10" xfId="0" applyAlignment="1" applyBorder="1" applyFont="1" applyNumberFormat="1">
      <alignment horizontal="right"/>
    </xf>
    <xf borderId="24" fillId="0" fontId="17" numFmtId="178" xfId="0" applyBorder="1" applyFont="1" applyNumberFormat="1"/>
    <xf borderId="11" fillId="3" fontId="17" numFmtId="171" xfId="0" applyBorder="1" applyFont="1" applyNumberFormat="1"/>
    <xf borderId="29" fillId="3" fontId="32" numFmtId="10" xfId="0" applyBorder="1" applyFont="1" applyNumberFormat="1"/>
    <xf borderId="28" fillId="3" fontId="17" numFmtId="171" xfId="0" applyBorder="1" applyFont="1" applyNumberFormat="1"/>
    <xf borderId="27" fillId="3" fontId="17" numFmtId="171" xfId="0" applyBorder="1" applyFont="1" applyNumberFormat="1"/>
    <xf borderId="11" fillId="3" fontId="17" numFmtId="178" xfId="0" applyBorder="1" applyFont="1" applyNumberFormat="1"/>
    <xf borderId="15" fillId="3" fontId="17" numFmtId="178" xfId="0" applyAlignment="1" applyBorder="1" applyFont="1" applyNumberFormat="1">
      <alignment horizontal="right"/>
    </xf>
    <xf borderId="12" fillId="3" fontId="17" numFmtId="171" xfId="0" applyBorder="1" applyFont="1" applyNumberFormat="1"/>
    <xf borderId="1" fillId="3" fontId="17" numFmtId="171" xfId="0" applyBorder="1" applyFont="1" applyNumberFormat="1"/>
    <xf borderId="19" fillId="3" fontId="17" numFmtId="171" xfId="0" applyBorder="1" applyFont="1" applyNumberFormat="1"/>
    <xf borderId="29" fillId="12" fontId="32" numFmtId="10" xfId="0" applyBorder="1" applyFont="1" applyNumberFormat="1"/>
    <xf borderId="12" fillId="12" fontId="32" numFmtId="178" xfId="0" applyAlignment="1" applyBorder="1" applyFont="1" applyNumberFormat="1">
      <alignment horizontal="left" shrinkToFit="0" vertical="center" wrapText="1"/>
    </xf>
    <xf borderId="27" fillId="3" fontId="32" numFmtId="178" xfId="0" applyAlignment="1" applyBorder="1" applyFont="1" applyNumberFormat="1">
      <alignment horizontal="left" shrinkToFit="0" vertical="center" wrapText="1"/>
    </xf>
    <xf borderId="22" fillId="0" fontId="32" numFmtId="180" xfId="0" applyAlignment="1" applyBorder="1" applyFont="1" applyNumberFormat="1">
      <alignment horizontal="right" shrinkToFit="0" vertical="center" wrapText="1"/>
    </xf>
    <xf borderId="22" fillId="0" fontId="32" numFmtId="178" xfId="0" applyAlignment="1" applyBorder="1" applyFont="1" applyNumberFormat="1">
      <alignment horizontal="left" shrinkToFit="0" vertical="center" wrapText="1"/>
    </xf>
    <xf borderId="0" fillId="0" fontId="32" numFmtId="180" xfId="0" applyAlignment="1" applyFont="1" applyNumberFormat="1">
      <alignment horizontal="right" shrinkToFit="0" vertical="center" wrapText="1"/>
    </xf>
    <xf borderId="0" fillId="0" fontId="32" numFmtId="178" xfId="0" applyAlignment="1" applyFont="1" applyNumberFormat="1">
      <alignment horizontal="left" shrinkToFit="0" vertical="center" wrapText="1"/>
    </xf>
    <xf borderId="24" fillId="0" fontId="17" numFmtId="168" xfId="0" applyBorder="1" applyFont="1" applyNumberFormat="1"/>
    <xf borderId="23" fillId="3" fontId="17" numFmtId="175" xfId="0" applyBorder="1" applyFont="1" applyNumberFormat="1"/>
    <xf borderId="31" fillId="0" fontId="32" numFmtId="177" xfId="0" applyBorder="1" applyFont="1" applyNumberFormat="1"/>
    <xf borderId="1" fillId="3" fontId="17" numFmtId="10" xfId="0" applyBorder="1" applyFont="1" applyNumberFormat="1"/>
    <xf borderId="34" fillId="0" fontId="17" numFmtId="0" xfId="0" applyBorder="1" applyFont="1"/>
    <xf borderId="22" fillId="0" fontId="17" numFmtId="178" xfId="0" applyAlignment="1" applyBorder="1" applyFont="1" applyNumberFormat="1">
      <alignment horizontal="right"/>
    </xf>
    <xf borderId="22" fillId="0" fontId="17" numFmtId="0" xfId="0" applyBorder="1" applyFont="1"/>
    <xf borderId="22" fillId="0" fontId="17" numFmtId="178" xfId="0" applyBorder="1" applyFont="1" applyNumberFormat="1"/>
    <xf borderId="22" fillId="0" fontId="17" numFmtId="10" xfId="0" applyBorder="1" applyFont="1" applyNumberFormat="1"/>
    <xf borderId="0" fillId="0" fontId="17" numFmtId="178" xfId="0" applyAlignment="1" applyFont="1" applyNumberFormat="1">
      <alignment horizontal="right"/>
    </xf>
    <xf borderId="0" fillId="0" fontId="17" numFmtId="178" xfId="0" applyFont="1" applyNumberFormat="1"/>
    <xf borderId="0" fillId="0" fontId="17" numFmtId="168" xfId="0" applyFont="1" applyNumberFormat="1"/>
    <xf borderId="11" fillId="3" fontId="17" numFmtId="175" xfId="0" applyBorder="1" applyFont="1" applyNumberFormat="1"/>
    <xf borderId="20" fillId="0" fontId="17" numFmtId="0" xfId="0" applyBorder="1" applyFont="1"/>
    <xf borderId="24" fillId="0" fontId="17" numFmtId="10" xfId="0" applyBorder="1" applyFont="1" applyNumberFormat="1"/>
    <xf borderId="16" fillId="3" fontId="17" numFmtId="2" xfId="0" applyBorder="1" applyFont="1" applyNumberFormat="1"/>
    <xf borderId="15" fillId="3" fontId="17" numFmtId="180" xfId="0" applyAlignment="1" applyBorder="1" applyFont="1" applyNumberFormat="1">
      <alignment horizontal="right"/>
    </xf>
    <xf borderId="22" fillId="0" fontId="17" numFmtId="2" xfId="0" applyBorder="1" applyFont="1" applyNumberFormat="1"/>
    <xf borderId="22" fillId="0" fontId="17" numFmtId="180" xfId="0" applyAlignment="1" applyBorder="1" applyFont="1" applyNumberFormat="1">
      <alignment horizontal="right"/>
    </xf>
    <xf borderId="0" fillId="0" fontId="17" numFmtId="2" xfId="0" applyFont="1" applyNumberFormat="1"/>
    <xf borderId="0" fillId="0" fontId="17" numFmtId="181" xfId="0" applyFont="1" applyNumberFormat="1"/>
    <xf borderId="0" fillId="0" fontId="17" numFmtId="180" xfId="0" applyAlignment="1" applyFont="1" applyNumberFormat="1">
      <alignment horizontal="right"/>
    </xf>
    <xf borderId="0" fillId="0" fontId="17" numFmtId="171" xfId="0" applyFont="1" applyNumberFormat="1"/>
    <xf borderId="12" fillId="3" fontId="17" numFmtId="168" xfId="0" applyBorder="1" applyFont="1" applyNumberFormat="1"/>
    <xf borderId="16" fillId="3" fontId="17" numFmtId="168" xfId="0" applyBorder="1" applyFont="1" applyNumberFormat="1"/>
    <xf borderId="16" fillId="3" fontId="17" numFmtId="180" xfId="0" applyAlignment="1" applyBorder="1" applyFont="1" applyNumberFormat="1">
      <alignment horizontal="right"/>
    </xf>
    <xf borderId="16" fillId="5" fontId="32" numFmtId="0" xfId="0" applyAlignment="1" applyBorder="1" applyFont="1">
      <alignment horizontal="left" shrinkToFit="0" vertical="center" wrapText="1"/>
    </xf>
    <xf borderId="16" fillId="5" fontId="32" numFmtId="178" xfId="0" applyAlignment="1" applyBorder="1" applyFont="1" applyNumberFormat="1">
      <alignment horizontal="right" shrinkToFit="0" vertical="center" wrapText="1"/>
    </xf>
    <xf borderId="16" fillId="5" fontId="32" numFmtId="168" xfId="0" applyAlignment="1" applyBorder="1" applyFont="1" applyNumberFormat="1">
      <alignment horizontal="left" shrinkToFit="0" vertical="center" wrapText="1"/>
    </xf>
    <xf borderId="16" fillId="5" fontId="32" numFmtId="180" xfId="0" applyAlignment="1" applyBorder="1" applyFont="1" applyNumberFormat="1">
      <alignment horizontal="right" shrinkToFit="0" vertical="center" wrapText="1"/>
    </xf>
    <xf borderId="15" fillId="5" fontId="32" numFmtId="180" xfId="0" applyAlignment="1" applyBorder="1" applyFont="1" applyNumberFormat="1">
      <alignment horizontal="right" shrinkToFit="0" vertical="center" wrapText="1"/>
    </xf>
    <xf borderId="27" fillId="5" fontId="32" numFmtId="0" xfId="0" applyAlignment="1" applyBorder="1" applyFont="1">
      <alignment horizontal="left" shrinkToFit="0" vertical="center" wrapText="1"/>
    </xf>
    <xf borderId="28" fillId="5" fontId="32" numFmtId="0" xfId="0" applyAlignment="1" applyBorder="1" applyFont="1">
      <alignment horizontal="left" shrinkToFit="0" vertical="center" wrapText="1"/>
    </xf>
    <xf borderId="28" fillId="5" fontId="32" numFmtId="178" xfId="0" applyAlignment="1" applyBorder="1" applyFont="1" applyNumberFormat="1">
      <alignment horizontal="right" shrinkToFit="0" vertical="center" wrapText="1"/>
    </xf>
    <xf borderId="28" fillId="5" fontId="32" numFmtId="168" xfId="0" applyAlignment="1" applyBorder="1" applyFont="1" applyNumberFormat="1">
      <alignment horizontal="left" shrinkToFit="0" vertical="center" wrapText="1"/>
    </xf>
    <xf borderId="28" fillId="5" fontId="32" numFmtId="180" xfId="0" applyAlignment="1" applyBorder="1" applyFont="1" applyNumberFormat="1">
      <alignment horizontal="right" shrinkToFit="0" vertical="center" wrapText="1"/>
    </xf>
    <xf borderId="29" fillId="5" fontId="32" numFmtId="180" xfId="0" applyAlignment="1" applyBorder="1" applyFont="1" applyNumberFormat="1">
      <alignment horizontal="right" shrinkToFit="0" vertical="center" wrapText="1"/>
    </xf>
    <xf borderId="0" fillId="0" fontId="32" numFmtId="3" xfId="0" applyFont="1" applyNumberFormat="1"/>
    <xf borderId="0" fillId="0" fontId="32" numFmtId="4" xfId="0" applyFont="1" applyNumberFormat="1"/>
    <xf borderId="0" fillId="0" fontId="32" numFmtId="171" xfId="0" applyFont="1" applyNumberFormat="1"/>
    <xf borderId="1" fillId="2" fontId="32" numFmtId="0" xfId="0" applyBorder="1" applyFont="1"/>
    <xf borderId="1" fillId="2" fontId="32" numFmtId="3" xfId="0" applyBorder="1" applyFont="1" applyNumberFormat="1"/>
    <xf borderId="1" fillId="2" fontId="32" numFmtId="4" xfId="0" applyBorder="1" applyFont="1" applyNumberFormat="1"/>
    <xf borderId="1" fillId="2" fontId="32" numFmtId="171" xfId="0" applyBorder="1" applyFont="1" applyNumberFormat="1"/>
    <xf borderId="1" fillId="11" fontId="17" numFmtId="168" xfId="0" applyAlignment="1" applyBorder="1" applyFont="1" applyNumberFormat="1">
      <alignment horizontal="left"/>
    </xf>
    <xf borderId="1" fillId="4" fontId="17" numFmtId="168" xfId="0" applyAlignment="1" applyBorder="1" applyFont="1" applyNumberFormat="1">
      <alignment horizontal="left"/>
    </xf>
    <xf borderId="0" fillId="0" fontId="17" numFmtId="168" xfId="0" applyAlignment="1" applyFont="1" applyNumberFormat="1">
      <alignment horizontal="left"/>
    </xf>
    <xf borderId="1" fillId="11" fontId="56" numFmtId="0" xfId="0" applyBorder="1" applyFont="1"/>
    <xf borderId="11" fillId="3" fontId="17" numFmtId="168" xfId="0" applyAlignment="1" applyBorder="1" applyFont="1" applyNumberFormat="1">
      <alignment horizontal="left"/>
    </xf>
    <xf borderId="11" fillId="3" fontId="17" numFmtId="4" xfId="0" applyAlignment="1" applyBorder="1" applyFont="1" applyNumberFormat="1">
      <alignment horizontal="right"/>
    </xf>
    <xf borderId="23" fillId="3" fontId="17" numFmtId="168" xfId="0" applyAlignment="1" applyBorder="1" applyFont="1" applyNumberFormat="1">
      <alignment horizontal="left"/>
    </xf>
    <xf borderId="23" fillId="3" fontId="17" numFmtId="4" xfId="0" applyAlignment="1" applyBorder="1" applyFont="1" applyNumberFormat="1">
      <alignment horizontal="right"/>
    </xf>
    <xf borderId="1" fillId="11" fontId="2" numFmtId="0" xfId="0" applyBorder="1" applyFont="1"/>
    <xf borderId="1" fillId="4" fontId="2" numFmtId="0" xfId="0" applyBorder="1" applyFont="1"/>
    <xf borderId="1" fillId="11" fontId="57" numFmtId="0" xfId="0" applyBorder="1" applyFont="1"/>
    <xf borderId="1" fillId="4" fontId="57" numFmtId="0" xfId="0" applyBorder="1" applyFont="1"/>
    <xf borderId="0" fillId="0" fontId="57" numFmtId="0" xfId="0" applyFont="1"/>
    <xf borderId="1" fillId="11" fontId="2" numFmtId="0" xfId="0" applyAlignment="1" applyBorder="1" applyFont="1">
      <alignment horizontal="center"/>
    </xf>
    <xf borderId="1" fillId="4" fontId="2" numFmtId="0" xfId="0" applyAlignment="1" applyBorder="1" applyFont="1">
      <alignment horizontal="center"/>
    </xf>
    <xf borderId="42" fillId="13" fontId="2" numFmtId="0" xfId="0" applyAlignment="1" applyBorder="1" applyFill="1" applyFont="1">
      <alignment horizontal="center"/>
    </xf>
    <xf borderId="11" fillId="3" fontId="17" numFmtId="9" xfId="0" applyAlignment="1" applyBorder="1" applyFont="1" applyNumberFormat="1">
      <alignment horizontal="right"/>
    </xf>
    <xf borderId="11" fillId="7" fontId="17" numFmtId="0" xfId="0" applyAlignment="1" applyBorder="1" applyFont="1">
      <alignment horizontal="left" readingOrder="0"/>
    </xf>
    <xf borderId="11" fillId="3" fontId="17" numFmtId="181" xfId="0" applyAlignment="1" applyBorder="1" applyFont="1" applyNumberFormat="1">
      <alignment horizontal="left"/>
    </xf>
    <xf borderId="11" fillId="3" fontId="17" numFmtId="181" xfId="0" applyAlignment="1" applyBorder="1" applyFont="1" applyNumberFormat="1">
      <alignment horizontal="right"/>
    </xf>
    <xf borderId="1" fillId="11" fontId="17" numFmtId="9" xfId="0" applyAlignment="1" applyBorder="1" applyFont="1" applyNumberFormat="1">
      <alignment horizontal="right"/>
    </xf>
    <xf borderId="1" fillId="4" fontId="17" numFmtId="9" xfId="0" applyAlignment="1" applyBorder="1" applyFont="1" applyNumberFormat="1">
      <alignment horizontal="right"/>
    </xf>
    <xf borderId="34" fillId="0" fontId="2" numFmtId="0" xfId="0" applyAlignment="1" applyBorder="1" applyFont="1">
      <alignment horizontal="left" shrinkToFit="0" vertical="top" wrapText="1"/>
    </xf>
    <xf borderId="22" fillId="0" fontId="18" numFmtId="0" xfId="0" applyBorder="1" applyFont="1"/>
    <xf borderId="35" fillId="0" fontId="18" numFmtId="0" xfId="0" applyBorder="1" applyFont="1"/>
    <xf borderId="0" fillId="0" fontId="2" numFmtId="0" xfId="0" applyAlignment="1" applyFont="1">
      <alignment horizontal="left" shrinkToFit="0" vertical="top" wrapText="1"/>
    </xf>
    <xf borderId="31" fillId="0" fontId="18" numFmtId="0" xfId="0" applyBorder="1" applyFont="1"/>
    <xf borderId="36" fillId="0" fontId="18" numFmtId="0" xfId="0" applyBorder="1" applyFont="1"/>
    <xf borderId="20" fillId="0" fontId="18" numFmtId="0" xfId="0" applyBorder="1" applyFont="1"/>
    <xf borderId="24" fillId="0" fontId="18" numFmtId="0" xfId="0" applyBorder="1" applyFont="1"/>
    <xf borderId="37" fillId="0" fontId="18" numFmtId="0" xfId="0" applyBorder="1" applyFont="1"/>
    <xf borderId="11" fillId="4" fontId="17" numFmtId="0" xfId="0" applyAlignment="1" applyBorder="1" applyFont="1">
      <alignment horizontal="left"/>
    </xf>
    <xf borderId="11" fillId="3" fontId="17" numFmtId="176" xfId="0" applyAlignment="1" applyBorder="1" applyFont="1" applyNumberFormat="1">
      <alignment horizontal="right"/>
    </xf>
    <xf borderId="11" fillId="4" fontId="17" numFmtId="0" xfId="0" applyAlignment="1" applyBorder="1" applyFont="1">
      <alignment horizontal="left" readingOrder="0"/>
    </xf>
    <xf borderId="31" fillId="0" fontId="2" numFmtId="0" xfId="0" applyAlignment="1" applyBorder="1" applyFont="1">
      <alignment horizontal="left" shrinkToFit="0" vertical="top" wrapText="1"/>
    </xf>
    <xf borderId="1" fillId="4" fontId="56" numFmtId="0" xfId="0" applyBorder="1" applyFont="1"/>
    <xf borderId="20" fillId="0" fontId="2" numFmtId="0" xfId="0" applyAlignment="1" applyBorder="1" applyFont="1">
      <alignment horizontal="left" shrinkToFit="0" vertical="top" wrapText="1"/>
    </xf>
    <xf borderId="11" fillId="5" fontId="32" numFmtId="9" xfId="0" applyAlignment="1" applyBorder="1" applyFont="1" applyNumberFormat="1">
      <alignment horizontal="center"/>
    </xf>
    <xf borderId="13" fillId="13" fontId="17" numFmtId="0" xfId="0" applyAlignment="1" applyBorder="1" applyFont="1">
      <alignment horizontal="center"/>
    </xf>
    <xf borderId="43" fillId="13" fontId="17" numFmtId="0" xfId="0" applyBorder="1" applyFont="1"/>
    <xf borderId="11" fillId="13" fontId="17" numFmtId="0" xfId="0" applyAlignment="1" applyBorder="1" applyFont="1">
      <alignment horizontal="center"/>
    </xf>
    <xf borderId="0" fillId="0" fontId="17" numFmtId="176" xfId="0" applyFont="1" applyNumberFormat="1"/>
    <xf borderId="1" fillId="13" fontId="17" numFmtId="0" xfId="0" applyBorder="1" applyFont="1"/>
    <xf borderId="11" fillId="13" fontId="15" numFmtId="176" xfId="0" applyBorder="1" applyFont="1" applyNumberFormat="1"/>
    <xf borderId="0" fillId="0" fontId="17" numFmtId="9" xfId="0" applyFont="1" applyNumberFormat="1"/>
    <xf borderId="0" fillId="0" fontId="58" numFmtId="0" xfId="0" applyFont="1"/>
    <xf borderId="12" fillId="13" fontId="17" numFmtId="0" xfId="0" applyBorder="1" applyFont="1"/>
    <xf borderId="15" fillId="13" fontId="17" numFmtId="9" xfId="0" applyBorder="1" applyFont="1" applyNumberFormat="1"/>
    <xf borderId="44" fillId="14" fontId="17" numFmtId="0" xfId="0" applyBorder="1" applyFill="1" applyFont="1"/>
    <xf borderId="45" fillId="14" fontId="17" numFmtId="0" xfId="0" applyBorder="1" applyFont="1"/>
    <xf borderId="44" fillId="0" fontId="17" numFmtId="0" xfId="0" applyBorder="1" applyFont="1"/>
    <xf borderId="46" fillId="0" fontId="17" numFmtId="168" xfId="0" applyBorder="1" applyFont="1" applyNumberFormat="1"/>
    <xf borderId="0" fillId="0" fontId="25" numFmtId="168" xfId="0" applyFont="1" applyNumberFormat="1"/>
    <xf borderId="47" fillId="0" fontId="17" numFmtId="0" xfId="0" applyBorder="1" applyFont="1"/>
    <xf borderId="47" fillId="0" fontId="17" numFmtId="168" xfId="0" applyBorder="1" applyFont="1" applyNumberFormat="1"/>
    <xf borderId="0" fillId="0" fontId="25" numFmtId="0" xfId="0" applyFont="1"/>
    <xf borderId="11" fillId="13" fontId="17" numFmtId="176" xfId="0" applyBorder="1" applyFont="1" applyNumberFormat="1"/>
    <xf borderId="0" fillId="0" fontId="25" numFmtId="0" xfId="0" applyAlignment="1" applyFont="1">
      <alignment horizontal="right"/>
    </xf>
    <xf borderId="0" fillId="0" fontId="25" numFmtId="0" xfId="0" applyAlignment="1" applyFont="1">
      <alignment horizontal="right" readingOrder="0"/>
    </xf>
    <xf borderId="0" fillId="0" fontId="25" numFmtId="1" xfId="0" applyFont="1" applyNumberFormat="1"/>
    <xf borderId="15" fillId="13" fontId="17" numFmtId="0" xfId="0" applyBorder="1" applyFont="1"/>
    <xf borderId="1" fillId="9" fontId="25" numFmtId="4" xfId="0" applyBorder="1" applyFont="1" applyNumberFormat="1"/>
    <xf borderId="0" fillId="0" fontId="25" numFmtId="4" xfId="0" applyFont="1" applyNumberFormat="1"/>
    <xf borderId="0" fillId="0" fontId="25" numFmtId="10" xfId="0" applyAlignment="1" applyFont="1" applyNumberFormat="1">
      <alignment horizontal="right"/>
    </xf>
    <xf borderId="0" fillId="0" fontId="25" numFmtId="182" xfId="0" applyAlignment="1" applyFont="1" applyNumberFormat="1">
      <alignment horizontal="right"/>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Cantidad Vendida</a:t>
            </a:r>
          </a:p>
        </c:rich>
      </c:tx>
      <c:overlay val="0"/>
    </c:title>
    <c:plotArea>
      <c:layout/>
      <c:lineChart>
        <c:varyColors val="0"/>
        <c:ser>
          <c:idx val="0"/>
          <c:order val="0"/>
          <c:tx>
            <c:v>Cantidad Vendida acumulado</c:v>
          </c:tx>
          <c:spPr>
            <a:ln cmpd="sng" w="19050">
              <a:solidFill>
                <a:srgbClr val="666699">
                  <a:alpha val="100000"/>
                </a:srgbClr>
              </a:solidFill>
            </a:ln>
          </c:spPr>
          <c:marker>
            <c:symbol val="none"/>
          </c:marker>
          <c:val>
            <c:numRef>
              <c:f>Mercado!$H$23:$H$27</c:f>
              <c:numCache/>
            </c:numRef>
          </c:val>
          <c:smooth val="0"/>
        </c:ser>
        <c:axId val="1216516"/>
        <c:axId val="1463393359"/>
      </c:lineChart>
      <c:catAx>
        <c:axId val="12165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i="0">
                <a:solidFill>
                  <a:srgbClr val="000000"/>
                </a:solidFill>
                <a:latin typeface="Roboto"/>
              </a:defRPr>
            </a:pPr>
          </a:p>
        </c:txPr>
        <c:crossAx val="1463393359"/>
      </c:catAx>
      <c:valAx>
        <c:axId val="14633933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i="0">
                <a:solidFill>
                  <a:srgbClr val="000000"/>
                </a:solidFill>
                <a:latin typeface="Roboto"/>
              </a:defRPr>
            </a:pPr>
          </a:p>
        </c:txPr>
        <c:crossAx val="1216516"/>
      </c:valAx>
      <c:spPr>
        <a:solidFill>
          <a:srgbClr val="FFFFFF"/>
        </a:solidFill>
      </c:spPr>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Roboto"/>
              </a:defRPr>
            </a:pPr>
            <a:r>
              <a:rPr b="1" i="0" sz="1800">
                <a:solidFill>
                  <a:srgbClr val="000000"/>
                </a:solidFill>
                <a:latin typeface="Roboto"/>
              </a:rPr>
              <a:t>Distribución del Mercado</a:t>
            </a:r>
          </a:p>
        </c:rich>
      </c:tx>
      <c:overlay val="0"/>
    </c:title>
    <c:view3D>
      <c:rotX val="50"/>
      <c:perspective val="0"/>
    </c:view3D>
    <c:plotArea>
      <c:layout/>
      <c:pie3DChart>
        <c:varyColors val="1"/>
        <c:ser>
          <c:idx val="0"/>
          <c:order val="0"/>
          <c:dPt>
            <c:idx val="0"/>
            <c:spPr>
              <a:solidFill>
                <a:srgbClr val="A2C4C9"/>
              </a:solidFill>
            </c:spPr>
          </c:dPt>
          <c:dLbls>
            <c:showLegendKey val="0"/>
            <c:showVal val="1"/>
            <c:showCatName val="0"/>
            <c:showSerName val="0"/>
            <c:showPercent val="0"/>
            <c:showBubbleSize val="0"/>
            <c:showLeaderLines val="1"/>
          </c:dLbls>
          <c:cat>
            <c:strRef>
              <c:f>Mercado!$I$5:$J$5</c:f>
            </c:strRef>
          </c:cat>
          <c:val>
            <c:numRef>
              <c:f>Mercado!$I$6:$J$6</c:f>
              <c:numCache/>
            </c:numRef>
          </c:val>
        </c:ser>
        <c:dLbls>
          <c:showLegendKey val="0"/>
          <c:showVal val="0"/>
          <c:showCatName val="0"/>
          <c:showSerName val="0"/>
          <c:showPercent val="0"/>
          <c:showBubbleSize val="0"/>
        </c:dLbls>
      </c:pie3DChart>
      <c:spPr>
        <a:solidFill>
          <a:srgbClr val="FFFFFF"/>
        </a:solidFill>
      </c:spPr>
    </c:plotArea>
    <c:legend>
      <c:legendPos val="r"/>
      <c:overlay val="0"/>
      <c:txPr>
        <a:bodyPr/>
        <a:lstStyle/>
        <a:p>
          <a:pPr lvl="0">
            <a:defRPr b="0" i="0" sz="1000">
              <a:solidFill>
                <a:srgbClr val="000000"/>
              </a:solidFill>
              <a:latin typeface="Roboto"/>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723900</xdr:colOff>
      <xdr:row>1</xdr:row>
      <xdr:rowOff>114300</xdr:rowOff>
    </xdr:from>
    <xdr:ext cx="1895475" cy="800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34</xdr:row>
      <xdr:rowOff>9525</xdr:rowOff>
    </xdr:from>
    <xdr:ext cx="4552950" cy="2438400"/>
    <xdr:graphicFrame>
      <xdr:nvGraphicFramePr>
        <xdr:cNvPr descr="Chart 0" id="2029833950"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200025</xdr:colOff>
      <xdr:row>34</xdr:row>
      <xdr:rowOff>9525</xdr:rowOff>
    </xdr:from>
    <xdr:ext cx="4886325" cy="2438400"/>
    <xdr:graphicFrame>
      <xdr:nvGraphicFramePr>
        <xdr:cNvPr descr="Chart 1" id="173008321"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21</xdr:row>
      <xdr:rowOff>161925</xdr:rowOff>
    </xdr:from>
    <xdr:ext cx="2247900" cy="4572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323850</xdr:colOff>
      <xdr:row>11</xdr:row>
      <xdr:rowOff>104775</xdr:rowOff>
    </xdr:from>
    <xdr:ext cx="1295400" cy="11144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581025</xdr:colOff>
      <xdr:row>11</xdr:row>
      <xdr:rowOff>104775</xdr:rowOff>
    </xdr:from>
    <xdr:ext cx="1933575" cy="1847850"/>
    <xdr:pic>
      <xdr:nvPicPr>
        <xdr:cNvPr id="0" name="image4.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www.easy.com.ar/escritorio-79x135x44-5cm-mdf-y-polipropileno-negro-y-natural-minimalista-midtown-1/p" TargetMode="External"/><Relationship Id="rId2" Type="http://schemas.openxmlformats.org/officeDocument/2006/relationships/hyperlink" Target="https://www.easy.com.ar/sillon-barkley-decototale-mesh-negro/p" TargetMode="External"/><Relationship Id="rId3" Type="http://schemas.openxmlformats.org/officeDocument/2006/relationships/hyperlink" Target="https://www.mercadolibre.com.ar/mesa-dibujo-tecnico-plantec-tablero-paralelabandeja-80x120/up/MLAU303784928?pdp_filters=item_id%3AMLA900269616&amp;matt_tool=89488245" TargetMode="External"/><Relationship Id="rId4" Type="http://schemas.openxmlformats.org/officeDocument/2006/relationships/hyperlink" Target="https://allianiweb.com.ar/product/mesa-linea-aria-oval/" TargetMode="External"/><Relationship Id="rId5" Type="http://schemas.openxmlformats.org/officeDocument/2006/relationships/hyperlink" Target="https://www.mercadolibre.com.ar/mueble-archivo-fichero-para-oficina-2-cajones-metal/up/MLAU3564689807?pdp_filters=item_id%3AMLA1585528059&amp;matt_tool=89488245" TargetMode="External"/><Relationship Id="rId6" Type="http://schemas.openxmlformats.org/officeDocument/2006/relationships/hyperlink" Target="https://www.easy.com.ar/mesa-de-comedor-bahia-140x80x75-cm-melamina-blanco-dakot/p"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5.xml"/><Relationship Id="rId3"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7.xml"/><Relationship Id="rId3"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8.xml"/><Relationship Id="rId3"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9.xml"/><Relationship Id="rId3" Type="http://schemas.openxmlformats.org/officeDocument/2006/relationships/vmlDrawing" Target="../drawings/vmlDrawing12.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20.xml"/><Relationship Id="rId3"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cols>
    <col customWidth="1" min="1" max="1" width="2.29"/>
    <col customWidth="1" min="2" max="2" width="5.57"/>
    <col customWidth="1" min="3" max="3" width="2.29"/>
    <col customWidth="1" min="4" max="4" width="24.71"/>
    <col customWidth="1" min="5" max="5" width="43.14"/>
    <col customWidth="1" min="6" max="6" width="35.0"/>
    <col customWidth="1" min="7" max="7" width="11.43"/>
    <col customWidth="1" min="8" max="8" width="3.29"/>
    <col customWidth="1" min="9" max="9" width="2.71"/>
    <col customWidth="1" min="10" max="16" width="11.43"/>
    <col customWidth="1" min="17" max="26" width="17.29"/>
  </cols>
  <sheetData>
    <row r="1" ht="12.75" customHeight="1">
      <c r="A1" s="1">
        <v>0.0</v>
      </c>
      <c r="B1" s="1"/>
      <c r="C1" s="1"/>
      <c r="D1" s="1"/>
      <c r="E1" s="1"/>
      <c r="F1" s="1"/>
      <c r="G1" s="1"/>
      <c r="H1" s="1"/>
      <c r="I1" s="1"/>
      <c r="J1" s="2"/>
      <c r="K1" s="2"/>
      <c r="L1" s="2"/>
      <c r="M1" s="2"/>
      <c r="N1" s="2"/>
      <c r="O1" s="2"/>
      <c r="P1" s="2"/>
      <c r="Q1" s="2"/>
      <c r="R1" s="2"/>
      <c r="S1" s="2"/>
      <c r="T1" s="2"/>
      <c r="U1" s="2"/>
      <c r="V1" s="2"/>
      <c r="W1" s="2"/>
      <c r="X1" s="2"/>
    </row>
    <row r="2" ht="12.75" customHeight="1">
      <c r="A2" s="1"/>
      <c r="B2" s="3"/>
      <c r="C2" s="3"/>
      <c r="D2" s="3"/>
      <c r="E2" s="3"/>
      <c r="F2" s="3"/>
      <c r="G2" s="3"/>
      <c r="H2" s="3"/>
      <c r="I2" s="1"/>
      <c r="J2" s="2"/>
      <c r="K2" s="2"/>
      <c r="L2" s="2"/>
      <c r="M2" s="2"/>
      <c r="N2" s="2"/>
      <c r="O2" s="2"/>
      <c r="P2" s="2"/>
      <c r="Q2" s="2"/>
      <c r="R2" s="2"/>
      <c r="S2" s="2"/>
      <c r="T2" s="2"/>
      <c r="U2" s="2"/>
      <c r="V2" s="2"/>
      <c r="W2" s="2"/>
      <c r="X2" s="2"/>
    </row>
    <row r="3" ht="12.75" customHeight="1">
      <c r="A3" s="1"/>
      <c r="B3" s="3"/>
      <c r="C3" s="3"/>
      <c r="D3" s="3"/>
      <c r="E3" s="3"/>
      <c r="F3" s="3"/>
      <c r="G3" s="3"/>
      <c r="H3" s="3"/>
      <c r="I3" s="1"/>
      <c r="J3" s="2"/>
      <c r="K3" s="2"/>
      <c r="L3" s="2"/>
      <c r="M3" s="2"/>
      <c r="N3" s="2"/>
      <c r="O3" s="2"/>
      <c r="P3" s="2"/>
      <c r="Q3" s="2"/>
      <c r="R3" s="2"/>
      <c r="S3" s="2"/>
      <c r="T3" s="2"/>
      <c r="U3" s="2"/>
      <c r="V3" s="2"/>
      <c r="W3" s="2"/>
      <c r="X3" s="2"/>
    </row>
    <row r="4" ht="12.75" customHeight="1">
      <c r="A4" s="1"/>
      <c r="B4" s="3"/>
      <c r="C4" s="3"/>
      <c r="D4" s="3"/>
      <c r="E4" s="3"/>
      <c r="F4" s="3"/>
      <c r="G4" s="3"/>
      <c r="H4" s="3"/>
      <c r="I4" s="1"/>
      <c r="J4" s="2"/>
      <c r="K4" s="2"/>
      <c r="L4" s="2"/>
      <c r="M4" s="2"/>
      <c r="N4" s="2"/>
      <c r="O4" s="2"/>
      <c r="P4" s="2"/>
      <c r="Q4" s="2"/>
      <c r="R4" s="2"/>
      <c r="S4" s="2"/>
      <c r="T4" s="2"/>
      <c r="U4" s="2"/>
      <c r="V4" s="2"/>
      <c r="W4" s="2"/>
      <c r="X4" s="2"/>
    </row>
    <row r="5" ht="12.75" customHeight="1">
      <c r="A5" s="1"/>
      <c r="B5" s="3"/>
      <c r="C5" s="3"/>
      <c r="D5" s="3"/>
      <c r="E5" s="3"/>
      <c r="F5" s="3"/>
      <c r="G5" s="3"/>
      <c r="H5" s="3"/>
      <c r="I5" s="1"/>
      <c r="J5" s="2"/>
      <c r="K5" s="2"/>
      <c r="L5" s="2"/>
      <c r="M5" s="2"/>
      <c r="N5" s="2"/>
      <c r="O5" s="2"/>
      <c r="P5" s="2"/>
      <c r="Q5" s="2"/>
      <c r="R5" s="2"/>
      <c r="S5" s="2"/>
      <c r="T5" s="2"/>
      <c r="U5" s="2"/>
      <c r="V5" s="2"/>
      <c r="W5" s="2"/>
      <c r="X5" s="2"/>
    </row>
    <row r="6" ht="12.75" customHeight="1">
      <c r="A6" s="1"/>
      <c r="B6" s="3"/>
      <c r="C6" s="3"/>
      <c r="D6" s="3"/>
      <c r="E6" s="3"/>
      <c r="F6" s="3"/>
      <c r="G6" s="3"/>
      <c r="H6" s="3"/>
      <c r="I6" s="1"/>
      <c r="J6" s="2"/>
      <c r="K6" s="2"/>
      <c r="L6" s="2"/>
      <c r="M6" s="2"/>
      <c r="N6" s="2"/>
      <c r="O6" s="2"/>
      <c r="P6" s="2"/>
      <c r="Q6" s="2"/>
      <c r="R6" s="2"/>
      <c r="S6" s="2"/>
      <c r="T6" s="2"/>
      <c r="U6" s="2"/>
      <c r="V6" s="2"/>
      <c r="W6" s="2"/>
      <c r="X6" s="2"/>
    </row>
    <row r="7" ht="12.75" customHeight="1">
      <c r="A7" s="1"/>
      <c r="B7" s="3"/>
      <c r="C7" s="3"/>
      <c r="D7" s="3"/>
      <c r="E7" s="3"/>
      <c r="F7" s="3"/>
      <c r="G7" s="3"/>
      <c r="H7" s="3"/>
      <c r="I7" s="1"/>
      <c r="J7" s="2"/>
      <c r="K7" s="2"/>
      <c r="L7" s="2"/>
      <c r="M7" s="2"/>
      <c r="N7" s="2"/>
      <c r="O7" s="2"/>
      <c r="P7" s="2"/>
      <c r="Q7" s="2"/>
      <c r="R7" s="2"/>
      <c r="S7" s="2"/>
      <c r="T7" s="2"/>
      <c r="U7" s="2"/>
      <c r="V7" s="2"/>
      <c r="W7" s="2"/>
      <c r="X7" s="2"/>
    </row>
    <row r="8">
      <c r="A8" s="1"/>
      <c r="B8" s="3"/>
      <c r="C8" s="3"/>
      <c r="D8" s="4" t="s">
        <v>0</v>
      </c>
      <c r="E8" s="3"/>
      <c r="F8" s="3"/>
      <c r="G8" s="3"/>
      <c r="H8" s="3"/>
      <c r="I8" s="1"/>
      <c r="J8" s="2"/>
      <c r="K8" s="2"/>
      <c r="L8" s="2"/>
      <c r="M8" s="2"/>
      <c r="N8" s="2"/>
      <c r="O8" s="2"/>
      <c r="P8" s="2"/>
      <c r="Q8" s="2"/>
      <c r="R8" s="2"/>
      <c r="S8" s="2"/>
      <c r="T8" s="2"/>
      <c r="U8" s="2"/>
      <c r="V8" s="2"/>
      <c r="W8" s="2"/>
      <c r="X8" s="2"/>
    </row>
    <row r="9" ht="12.75" customHeight="1">
      <c r="A9" s="1"/>
      <c r="B9" s="3"/>
      <c r="C9" s="3"/>
      <c r="D9" s="3"/>
      <c r="E9" s="3"/>
      <c r="F9" s="3"/>
      <c r="G9" s="3"/>
      <c r="H9" s="3"/>
      <c r="I9" s="1"/>
      <c r="J9" s="2"/>
      <c r="K9" s="2"/>
      <c r="L9" s="2"/>
      <c r="M9" s="2"/>
      <c r="N9" s="2"/>
      <c r="O9" s="2"/>
      <c r="P9" s="2"/>
      <c r="Q9" s="2"/>
      <c r="R9" s="2"/>
      <c r="S9" s="2"/>
      <c r="T9" s="2"/>
      <c r="U9" s="2"/>
      <c r="V9" s="2"/>
      <c r="W9" s="2"/>
      <c r="X9" s="2"/>
    </row>
    <row r="10" ht="33.75" customHeight="1">
      <c r="A10" s="1"/>
      <c r="B10" s="3"/>
      <c r="C10" s="3"/>
      <c r="D10" s="5" t="s">
        <v>1</v>
      </c>
      <c r="H10" s="3"/>
      <c r="I10" s="1"/>
      <c r="J10" s="2"/>
      <c r="K10" s="2"/>
      <c r="L10" s="2"/>
      <c r="M10" s="2"/>
      <c r="N10" s="2"/>
      <c r="O10" s="2"/>
      <c r="P10" s="2"/>
      <c r="Q10" s="2"/>
      <c r="R10" s="2"/>
      <c r="S10" s="2"/>
      <c r="T10" s="2"/>
      <c r="U10" s="2"/>
      <c r="V10" s="2"/>
      <c r="W10" s="2"/>
      <c r="X10" s="2"/>
      <c r="Y10" s="2"/>
      <c r="Z10" s="2"/>
    </row>
    <row r="11" ht="33.75" customHeight="1">
      <c r="A11" s="1"/>
      <c r="B11" s="3"/>
      <c r="C11" s="3"/>
      <c r="D11" s="6" t="s">
        <v>2</v>
      </c>
      <c r="H11" s="3"/>
      <c r="I11" s="1"/>
      <c r="J11" s="2"/>
      <c r="K11" s="2"/>
      <c r="L11" s="2"/>
      <c r="M11" s="2"/>
      <c r="N11" s="2"/>
      <c r="O11" s="2"/>
      <c r="P11" s="2"/>
      <c r="Q11" s="2"/>
      <c r="R11" s="2"/>
      <c r="S11" s="2"/>
      <c r="T11" s="2"/>
      <c r="U11" s="2"/>
      <c r="V11" s="2"/>
      <c r="W11" s="2"/>
      <c r="X11" s="2"/>
      <c r="Y11" s="2"/>
      <c r="Z11" s="2"/>
    </row>
    <row r="12" ht="33.75" customHeight="1">
      <c r="A12" s="1"/>
      <c r="B12" s="3"/>
      <c r="C12" s="3"/>
      <c r="D12" s="7"/>
      <c r="H12" s="3"/>
      <c r="I12" s="1"/>
      <c r="J12" s="2"/>
      <c r="K12" s="2"/>
      <c r="L12" s="2"/>
      <c r="M12" s="2"/>
      <c r="N12" s="2"/>
      <c r="O12" s="2"/>
      <c r="P12" s="2"/>
      <c r="Q12" s="2"/>
      <c r="R12" s="2"/>
      <c r="S12" s="2"/>
      <c r="T12" s="2"/>
      <c r="U12" s="2"/>
      <c r="V12" s="2"/>
      <c r="W12" s="2"/>
      <c r="X12" s="2"/>
      <c r="Y12" s="2"/>
      <c r="Z12" s="2"/>
    </row>
    <row r="13" ht="25.5" customHeight="1">
      <c r="A13" s="1"/>
      <c r="B13" s="3"/>
      <c r="C13" s="3"/>
      <c r="D13" s="8"/>
      <c r="H13" s="3"/>
      <c r="I13" s="1"/>
      <c r="J13" s="2"/>
      <c r="K13" s="2"/>
      <c r="L13" s="2"/>
      <c r="M13" s="2"/>
      <c r="N13" s="2"/>
      <c r="O13" s="2"/>
      <c r="P13" s="2"/>
      <c r="Q13" s="2"/>
      <c r="R13" s="2"/>
      <c r="S13" s="2"/>
      <c r="T13" s="2"/>
      <c r="U13" s="2"/>
      <c r="V13" s="2"/>
      <c r="W13" s="2"/>
      <c r="X13" s="2"/>
      <c r="Y13" s="2"/>
      <c r="Z13" s="2"/>
    </row>
    <row r="14" ht="25.5" customHeight="1">
      <c r="A14" s="1"/>
      <c r="B14" s="3"/>
      <c r="C14" s="3"/>
      <c r="D14" s="9"/>
      <c r="G14" s="10"/>
      <c r="H14" s="3"/>
      <c r="I14" s="1"/>
      <c r="J14" s="2"/>
      <c r="K14" s="2"/>
      <c r="L14" s="2"/>
      <c r="M14" s="2"/>
      <c r="N14" s="2"/>
      <c r="O14" s="2"/>
      <c r="P14" s="2"/>
      <c r="Q14" s="2"/>
      <c r="R14" s="2"/>
      <c r="S14" s="2"/>
      <c r="T14" s="2"/>
      <c r="U14" s="2"/>
      <c r="V14" s="2"/>
      <c r="W14" s="2"/>
      <c r="X14" s="2"/>
      <c r="Y14" s="2"/>
      <c r="Z14" s="2"/>
    </row>
    <row r="15" ht="22.5" customHeight="1">
      <c r="A15" s="1"/>
      <c r="B15" s="3"/>
      <c r="C15" s="3"/>
      <c r="D15" s="11" t="s">
        <v>3</v>
      </c>
      <c r="E15" s="11" t="s">
        <v>4</v>
      </c>
      <c r="F15" s="11" t="s">
        <v>5</v>
      </c>
      <c r="G15" s="3"/>
      <c r="H15" s="3"/>
      <c r="I15" s="1"/>
      <c r="J15" s="2"/>
      <c r="K15" s="2"/>
      <c r="L15" s="2"/>
      <c r="M15" s="2"/>
      <c r="N15" s="2"/>
      <c r="O15" s="2"/>
      <c r="P15" s="2"/>
      <c r="Q15" s="2"/>
      <c r="R15" s="2"/>
      <c r="S15" s="2"/>
      <c r="T15" s="2"/>
      <c r="U15" s="2"/>
      <c r="V15" s="2"/>
      <c r="W15" s="2"/>
      <c r="X15" s="2"/>
      <c r="Y15" s="2"/>
      <c r="Z15" s="2"/>
    </row>
    <row r="16" ht="22.5" customHeight="1">
      <c r="A16" s="1"/>
      <c r="B16" s="12"/>
      <c r="C16" s="3"/>
      <c r="D16" s="3"/>
      <c r="E16" s="3"/>
      <c r="F16" s="12"/>
      <c r="G16" s="12"/>
      <c r="H16" s="3"/>
      <c r="I16" s="1"/>
      <c r="J16" s="2"/>
      <c r="K16" s="2"/>
      <c r="L16" s="2"/>
      <c r="M16" s="2"/>
      <c r="N16" s="2"/>
      <c r="O16" s="2"/>
      <c r="P16" s="2"/>
      <c r="Q16" s="2"/>
      <c r="R16" s="2"/>
      <c r="S16" s="2"/>
      <c r="T16" s="2"/>
      <c r="U16" s="2"/>
      <c r="V16" s="2"/>
      <c r="W16" s="2"/>
      <c r="X16" s="2"/>
      <c r="Y16" s="2"/>
      <c r="Z16" s="2"/>
    </row>
    <row r="17" ht="22.5" customHeight="1">
      <c r="A17" s="1"/>
      <c r="B17" s="12" t="s">
        <v>6</v>
      </c>
      <c r="C17" s="12"/>
      <c r="D17" s="13" t="s">
        <v>7</v>
      </c>
      <c r="E17" s="14" t="s">
        <v>8</v>
      </c>
      <c r="F17" s="15" t="s">
        <v>9</v>
      </c>
      <c r="G17" s="12"/>
      <c r="H17" s="3"/>
      <c r="I17" s="1"/>
      <c r="J17" s="2"/>
      <c r="K17" s="2"/>
      <c r="L17" s="2"/>
      <c r="M17" s="2"/>
      <c r="N17" s="2"/>
      <c r="O17" s="2"/>
      <c r="P17" s="2"/>
      <c r="Q17" s="2"/>
      <c r="R17" s="2"/>
      <c r="S17" s="2"/>
      <c r="T17" s="2"/>
      <c r="U17" s="2"/>
      <c r="V17" s="2"/>
      <c r="W17" s="2"/>
      <c r="X17" s="2"/>
      <c r="Y17" s="2"/>
      <c r="Z17" s="2"/>
    </row>
    <row r="18" ht="22.5" customHeight="1">
      <c r="A18" s="1"/>
      <c r="B18" s="12" t="s">
        <v>6</v>
      </c>
      <c r="C18" s="12"/>
      <c r="D18" s="13" t="s">
        <v>10</v>
      </c>
      <c r="E18" s="14" t="s">
        <v>11</v>
      </c>
      <c r="F18" s="15" t="s">
        <v>12</v>
      </c>
      <c r="G18" s="12"/>
      <c r="H18" s="3"/>
      <c r="I18" s="1"/>
      <c r="J18" s="2"/>
      <c r="K18" s="2"/>
      <c r="L18" s="2"/>
      <c r="M18" s="2"/>
      <c r="N18" s="2"/>
      <c r="O18" s="2"/>
      <c r="P18" s="2"/>
      <c r="Q18" s="2"/>
      <c r="R18" s="2"/>
      <c r="S18" s="2"/>
      <c r="T18" s="2"/>
      <c r="U18" s="2"/>
      <c r="V18" s="2"/>
      <c r="W18" s="2"/>
      <c r="X18" s="2"/>
      <c r="Y18" s="2"/>
      <c r="Z18" s="2"/>
    </row>
    <row r="19" ht="22.5" customHeight="1">
      <c r="A19" s="1"/>
      <c r="B19" s="12" t="s">
        <v>6</v>
      </c>
      <c r="C19" s="12"/>
      <c r="D19" s="13" t="s">
        <v>13</v>
      </c>
      <c r="E19" s="14" t="s">
        <v>14</v>
      </c>
      <c r="F19" s="15" t="s">
        <v>15</v>
      </c>
      <c r="G19" s="12"/>
      <c r="H19" s="3"/>
      <c r="I19" s="1"/>
      <c r="J19" s="2"/>
      <c r="K19" s="2"/>
      <c r="L19" s="2"/>
      <c r="M19" s="2"/>
      <c r="N19" s="2"/>
      <c r="O19" s="2"/>
      <c r="P19" s="2"/>
      <c r="Q19" s="2"/>
      <c r="R19" s="2"/>
      <c r="S19" s="2"/>
      <c r="T19" s="2"/>
      <c r="U19" s="2"/>
      <c r="V19" s="2"/>
      <c r="W19" s="2"/>
      <c r="X19" s="2"/>
      <c r="Y19" s="2"/>
      <c r="Z19" s="2"/>
    </row>
    <row r="20" ht="22.5" customHeight="1">
      <c r="A20" s="1"/>
      <c r="B20" s="12" t="s">
        <v>6</v>
      </c>
      <c r="C20" s="12"/>
      <c r="D20" s="13" t="s">
        <v>16</v>
      </c>
      <c r="E20" s="14" t="s">
        <v>17</v>
      </c>
      <c r="F20" s="15" t="s">
        <v>18</v>
      </c>
      <c r="G20" s="12"/>
      <c r="H20" s="3"/>
      <c r="I20" s="1"/>
      <c r="J20" s="2"/>
      <c r="K20" s="2"/>
      <c r="L20" s="2"/>
      <c r="M20" s="2"/>
      <c r="N20" s="2"/>
      <c r="O20" s="2"/>
      <c r="P20" s="2"/>
      <c r="Q20" s="2"/>
      <c r="R20" s="2"/>
      <c r="S20" s="2"/>
      <c r="T20" s="2"/>
      <c r="U20" s="2"/>
      <c r="V20" s="2"/>
      <c r="W20" s="2"/>
      <c r="X20" s="2"/>
      <c r="Y20" s="2"/>
      <c r="Z20" s="2"/>
    </row>
    <row r="21" ht="22.5" customHeight="1">
      <c r="A21" s="1"/>
      <c r="B21" s="12" t="s">
        <v>6</v>
      </c>
      <c r="C21" s="12"/>
      <c r="D21" s="13" t="s">
        <v>19</v>
      </c>
      <c r="E21" s="14" t="s">
        <v>20</v>
      </c>
      <c r="F21" s="15" t="s">
        <v>21</v>
      </c>
      <c r="G21" s="12"/>
      <c r="H21" s="3"/>
      <c r="I21" s="1"/>
      <c r="J21" s="2"/>
      <c r="K21" s="2"/>
      <c r="L21" s="2"/>
      <c r="M21" s="2"/>
      <c r="N21" s="2"/>
      <c r="O21" s="2"/>
      <c r="P21" s="2"/>
      <c r="Q21" s="2"/>
      <c r="R21" s="2"/>
      <c r="S21" s="2"/>
      <c r="T21" s="2"/>
      <c r="U21" s="2"/>
      <c r="V21" s="2"/>
      <c r="W21" s="2"/>
      <c r="X21" s="2"/>
      <c r="Y21" s="2"/>
      <c r="Z21" s="2"/>
    </row>
    <row r="22" ht="22.5" customHeight="1">
      <c r="A22" s="1"/>
      <c r="B22" s="12" t="s">
        <v>6</v>
      </c>
      <c r="C22" s="12"/>
      <c r="D22" s="13" t="s">
        <v>22</v>
      </c>
      <c r="E22" s="14" t="s">
        <v>23</v>
      </c>
      <c r="F22" s="15" t="s">
        <v>24</v>
      </c>
      <c r="G22" s="12"/>
      <c r="H22" s="3"/>
      <c r="I22" s="1"/>
      <c r="J22" s="2"/>
      <c r="K22" s="2"/>
      <c r="L22" s="2"/>
      <c r="M22" s="2"/>
      <c r="N22" s="2"/>
      <c r="O22" s="2"/>
      <c r="P22" s="2"/>
      <c r="Q22" s="2"/>
      <c r="R22" s="2"/>
      <c r="S22" s="2"/>
      <c r="T22" s="2"/>
      <c r="U22" s="2"/>
      <c r="V22" s="2"/>
      <c r="W22" s="2"/>
      <c r="X22" s="2"/>
      <c r="Y22" s="2"/>
      <c r="Z22" s="2"/>
    </row>
    <row r="23" ht="22.5" customHeight="1">
      <c r="A23" s="1"/>
      <c r="B23" s="12" t="s">
        <v>6</v>
      </c>
      <c r="C23" s="12"/>
      <c r="D23" s="13"/>
      <c r="E23" s="16"/>
      <c r="F23" s="17"/>
      <c r="G23" s="12"/>
      <c r="H23" s="3"/>
      <c r="I23" s="1"/>
      <c r="J23" s="2"/>
      <c r="K23" s="2"/>
      <c r="L23" s="2"/>
      <c r="M23" s="2"/>
      <c r="N23" s="2"/>
      <c r="O23" s="2"/>
      <c r="P23" s="2"/>
      <c r="Q23" s="2"/>
      <c r="R23" s="2"/>
      <c r="S23" s="2"/>
      <c r="T23" s="2"/>
      <c r="U23" s="2"/>
      <c r="V23" s="2"/>
      <c r="W23" s="2"/>
      <c r="X23" s="2"/>
      <c r="Y23" s="2"/>
      <c r="Z23" s="2"/>
    </row>
    <row r="24" ht="22.5" customHeight="1">
      <c r="A24" s="1"/>
      <c r="B24" s="12" t="s">
        <v>6</v>
      </c>
      <c r="C24" s="12"/>
      <c r="D24" s="13"/>
      <c r="E24" s="16"/>
      <c r="F24" s="16"/>
      <c r="G24" s="12"/>
      <c r="H24" s="3"/>
      <c r="I24" s="1"/>
      <c r="J24" s="2"/>
      <c r="K24" s="2"/>
      <c r="L24" s="2"/>
      <c r="M24" s="2"/>
      <c r="N24" s="2"/>
      <c r="O24" s="2"/>
      <c r="P24" s="2"/>
      <c r="Q24" s="2"/>
      <c r="R24" s="2"/>
      <c r="S24" s="2"/>
      <c r="T24" s="2"/>
      <c r="U24" s="2"/>
      <c r="V24" s="2"/>
      <c r="W24" s="2"/>
      <c r="X24" s="2"/>
      <c r="Y24" s="2"/>
      <c r="Z24" s="2"/>
    </row>
    <row r="25" ht="22.5" customHeight="1">
      <c r="A25" s="1"/>
      <c r="B25" s="12"/>
      <c r="C25" s="12"/>
      <c r="D25" s="18"/>
      <c r="E25" s="19"/>
      <c r="F25" s="20"/>
      <c r="G25" s="12"/>
      <c r="H25" s="3"/>
      <c r="I25" s="1"/>
      <c r="J25" s="2"/>
      <c r="K25" s="2"/>
      <c r="L25" s="2"/>
      <c r="M25" s="2"/>
      <c r="N25" s="2"/>
      <c r="O25" s="2"/>
      <c r="P25" s="2"/>
      <c r="Q25" s="2"/>
      <c r="R25" s="2"/>
      <c r="S25" s="2"/>
      <c r="T25" s="2"/>
      <c r="U25" s="2"/>
      <c r="V25" s="2"/>
      <c r="W25" s="2"/>
      <c r="X25" s="2"/>
      <c r="Y25" s="2"/>
      <c r="Z25" s="2"/>
    </row>
    <row r="26" ht="22.5" customHeight="1">
      <c r="A26" s="1"/>
      <c r="B26" s="12"/>
      <c r="C26" s="3"/>
      <c r="D26" s="3"/>
      <c r="E26" s="3"/>
      <c r="F26" s="3"/>
      <c r="G26" s="12"/>
      <c r="H26" s="3"/>
      <c r="I26" s="1"/>
      <c r="J26" s="2"/>
      <c r="K26" s="2"/>
      <c r="L26" s="2"/>
      <c r="M26" s="2"/>
      <c r="N26" s="2"/>
      <c r="O26" s="2"/>
      <c r="P26" s="2"/>
      <c r="Q26" s="2"/>
      <c r="R26" s="2"/>
      <c r="S26" s="2"/>
      <c r="T26" s="2"/>
      <c r="U26" s="2"/>
      <c r="V26" s="2"/>
      <c r="W26" s="2"/>
      <c r="X26" s="2"/>
      <c r="Y26" s="2"/>
      <c r="Z26" s="2"/>
    </row>
    <row r="27" ht="23.25" customHeight="1">
      <c r="A27" s="1"/>
      <c r="B27" s="3"/>
      <c r="C27" s="3"/>
      <c r="D27" s="21" t="s">
        <v>25</v>
      </c>
      <c r="E27" s="22">
        <v>2.0</v>
      </c>
      <c r="F27" s="3"/>
      <c r="G27" s="3"/>
      <c r="H27" s="3"/>
      <c r="I27" s="1"/>
      <c r="J27" s="2"/>
      <c r="K27" s="2"/>
      <c r="L27" s="2"/>
      <c r="M27" s="2"/>
      <c r="N27" s="2"/>
      <c r="O27" s="2"/>
      <c r="P27" s="2"/>
      <c r="Q27" s="2"/>
      <c r="R27" s="2"/>
      <c r="S27" s="2"/>
      <c r="T27" s="2"/>
      <c r="U27" s="2"/>
      <c r="V27" s="2"/>
      <c r="W27" s="2"/>
      <c r="X27" s="2"/>
      <c r="Y27" s="2"/>
      <c r="Z27" s="2"/>
    </row>
    <row r="28" ht="23.25" customHeight="1">
      <c r="A28" s="1"/>
      <c r="B28" s="3"/>
      <c r="C28" s="3"/>
      <c r="D28" s="23" t="s">
        <v>26</v>
      </c>
      <c r="E28" s="24" t="s">
        <v>27</v>
      </c>
      <c r="F28" s="3"/>
      <c r="G28" s="3"/>
      <c r="H28" s="3"/>
      <c r="I28" s="1"/>
      <c r="J28" s="2"/>
      <c r="K28" s="2"/>
      <c r="L28" s="2"/>
      <c r="M28" s="2"/>
      <c r="N28" s="2"/>
      <c r="O28" s="2"/>
      <c r="P28" s="2"/>
      <c r="Q28" s="2"/>
      <c r="R28" s="2"/>
      <c r="S28" s="2"/>
      <c r="T28" s="2"/>
      <c r="U28" s="2"/>
      <c r="V28" s="2"/>
      <c r="W28" s="2"/>
      <c r="X28" s="2"/>
      <c r="Y28" s="2"/>
      <c r="Z28" s="2"/>
    </row>
    <row r="29" ht="23.25" customHeight="1">
      <c r="A29" s="1"/>
      <c r="B29" s="3"/>
      <c r="C29" s="3"/>
      <c r="D29" s="23" t="s">
        <v>28</v>
      </c>
      <c r="E29" s="24" t="s">
        <v>29</v>
      </c>
      <c r="F29" s="3"/>
      <c r="G29" s="3"/>
      <c r="H29" s="3"/>
      <c r="I29" s="1"/>
      <c r="J29" s="2"/>
      <c r="K29" s="2"/>
      <c r="L29" s="2"/>
      <c r="M29" s="2"/>
      <c r="N29" s="2"/>
      <c r="O29" s="2"/>
      <c r="P29" s="2"/>
      <c r="Q29" s="2"/>
      <c r="R29" s="2"/>
      <c r="S29" s="2"/>
      <c r="T29" s="2"/>
      <c r="U29" s="2"/>
      <c r="V29" s="2"/>
      <c r="W29" s="2"/>
      <c r="X29" s="2"/>
      <c r="Y29" s="2"/>
      <c r="Z29" s="2"/>
    </row>
    <row r="30" ht="23.25" customHeight="1">
      <c r="A30" s="1"/>
      <c r="B30" s="3"/>
      <c r="C30" s="3"/>
      <c r="D30" s="23" t="s">
        <v>30</v>
      </c>
      <c r="E30" s="24" t="s">
        <v>31</v>
      </c>
      <c r="F30" s="3"/>
      <c r="G30" s="3"/>
      <c r="H30" s="3"/>
      <c r="I30" s="1"/>
      <c r="J30" s="2"/>
      <c r="K30" s="2"/>
      <c r="L30" s="2"/>
      <c r="M30" s="2"/>
      <c r="N30" s="2"/>
      <c r="O30" s="2"/>
      <c r="P30" s="2"/>
      <c r="Q30" s="2"/>
      <c r="R30" s="2"/>
      <c r="S30" s="2"/>
      <c r="T30" s="2"/>
      <c r="U30" s="2"/>
      <c r="V30" s="2"/>
      <c r="W30" s="2"/>
      <c r="X30" s="2"/>
      <c r="Y30" s="2"/>
      <c r="Z30" s="2"/>
    </row>
    <row r="31" ht="23.25" customHeight="1">
      <c r="A31" s="1"/>
      <c r="B31" s="3"/>
      <c r="C31" s="3"/>
      <c r="D31" s="25" t="s">
        <v>32</v>
      </c>
      <c r="E31" s="26">
        <v>2026.0</v>
      </c>
      <c r="F31" s="3"/>
      <c r="G31" s="3"/>
      <c r="H31" s="3"/>
      <c r="I31" s="1"/>
      <c r="J31" s="2"/>
      <c r="K31" s="2"/>
      <c r="L31" s="2"/>
      <c r="M31" s="2"/>
      <c r="N31" s="2"/>
      <c r="O31" s="2"/>
      <c r="P31" s="2"/>
      <c r="Q31" s="2"/>
      <c r="R31" s="2"/>
      <c r="S31" s="2"/>
      <c r="T31" s="2"/>
      <c r="U31" s="2"/>
      <c r="V31" s="2"/>
      <c r="W31" s="2"/>
      <c r="X31" s="2"/>
      <c r="Y31" s="2"/>
      <c r="Z31" s="2"/>
    </row>
    <row r="32" ht="12.75" customHeight="1">
      <c r="A32" s="1"/>
      <c r="B32" s="3"/>
      <c r="C32" s="3"/>
      <c r="D32" s="3"/>
      <c r="E32" s="3"/>
      <c r="F32" s="3"/>
      <c r="G32" s="3"/>
      <c r="H32" s="3"/>
      <c r="I32" s="1"/>
      <c r="J32" s="2"/>
      <c r="K32" s="2"/>
      <c r="L32" s="2"/>
      <c r="M32" s="2"/>
      <c r="N32" s="2"/>
      <c r="O32" s="2"/>
      <c r="P32" s="2"/>
      <c r="Q32" s="2"/>
      <c r="R32" s="2"/>
      <c r="S32" s="2"/>
      <c r="T32" s="2"/>
      <c r="U32" s="2"/>
      <c r="V32" s="2"/>
      <c r="W32" s="2"/>
      <c r="X32" s="2"/>
      <c r="Y32" s="2"/>
      <c r="Z32" s="2"/>
    </row>
    <row r="33" ht="12.75" customHeight="1">
      <c r="A33" s="1"/>
      <c r="B33" s="1"/>
      <c r="C33" s="1"/>
      <c r="D33" s="1"/>
      <c r="E33" s="1"/>
      <c r="F33" s="1"/>
      <c r="G33" s="1"/>
      <c r="H33" s="1"/>
      <c r="I33" s="1"/>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10:G10"/>
    <mergeCell ref="D11:G11"/>
    <mergeCell ref="D12:G12"/>
    <mergeCell ref="D13:G13"/>
    <mergeCell ref="D14:F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1" width="11.43"/>
    <col customWidth="1" min="2" max="2" width="10.86"/>
    <col customWidth="1" min="3" max="3" width="32.57"/>
    <col customWidth="1" min="4" max="4" width="7.71"/>
    <col customWidth="1" min="5" max="5" width="62.0"/>
    <col customWidth="1" min="6" max="14" width="11.43"/>
    <col customWidth="1" min="15" max="24" width="17.29"/>
  </cols>
  <sheetData>
    <row r="1" ht="12.75" customHeight="1">
      <c r="A1" s="27"/>
      <c r="B1" s="27"/>
      <c r="C1" s="27"/>
      <c r="D1" s="27"/>
      <c r="E1" s="27"/>
      <c r="F1" s="27"/>
      <c r="G1" s="2"/>
      <c r="H1" s="2"/>
      <c r="I1" s="2"/>
      <c r="J1" s="2"/>
      <c r="K1" s="2"/>
      <c r="L1" s="2"/>
      <c r="M1" s="2"/>
      <c r="N1" s="2"/>
      <c r="O1" s="2"/>
      <c r="P1" s="2"/>
      <c r="Q1" s="2"/>
      <c r="R1" s="2"/>
      <c r="S1" s="2"/>
      <c r="T1" s="2"/>
      <c r="U1" s="2"/>
      <c r="V1" s="2"/>
      <c r="W1" s="2"/>
      <c r="X1" s="2"/>
    </row>
    <row r="2" ht="12.75" customHeight="1">
      <c r="A2" s="27"/>
      <c r="B2" s="28"/>
      <c r="C2" s="28"/>
      <c r="D2" s="28"/>
      <c r="E2" s="28"/>
      <c r="F2" s="27"/>
      <c r="G2" s="2"/>
      <c r="H2" s="2"/>
      <c r="I2" s="2"/>
      <c r="J2" s="2"/>
      <c r="K2" s="2"/>
      <c r="L2" s="2"/>
      <c r="M2" s="2"/>
      <c r="N2" s="2"/>
      <c r="O2" s="2"/>
      <c r="P2" s="2"/>
      <c r="Q2" s="2"/>
      <c r="R2" s="2"/>
      <c r="S2" s="2"/>
      <c r="T2" s="2"/>
      <c r="U2" s="2"/>
      <c r="V2" s="2"/>
      <c r="W2" s="2"/>
      <c r="X2" s="2"/>
    </row>
    <row r="3" ht="18.75" customHeight="1">
      <c r="A3" s="27"/>
      <c r="B3" s="28"/>
      <c r="C3" s="29" t="s">
        <v>33</v>
      </c>
      <c r="D3" s="28"/>
      <c r="E3" s="28"/>
      <c r="F3" s="27"/>
      <c r="G3" s="2"/>
      <c r="H3" s="2"/>
      <c r="I3" s="2"/>
      <c r="J3" s="2"/>
      <c r="K3" s="2"/>
      <c r="L3" s="2"/>
      <c r="M3" s="2"/>
      <c r="N3" s="2"/>
      <c r="O3" s="2"/>
      <c r="P3" s="2"/>
      <c r="Q3" s="2"/>
      <c r="R3" s="2"/>
      <c r="S3" s="2"/>
      <c r="T3" s="2"/>
      <c r="U3" s="2"/>
      <c r="V3" s="2"/>
      <c r="W3" s="2"/>
      <c r="X3" s="2"/>
    </row>
    <row r="4" ht="12.75" customHeight="1">
      <c r="A4" s="27"/>
      <c r="B4" s="28"/>
      <c r="C4" s="28"/>
      <c r="D4" s="28"/>
      <c r="E4" s="28"/>
      <c r="F4" s="27"/>
      <c r="G4" s="2"/>
      <c r="H4" s="2"/>
      <c r="I4" s="2"/>
      <c r="J4" s="2"/>
      <c r="K4" s="2"/>
      <c r="L4" s="2"/>
      <c r="M4" s="2"/>
      <c r="N4" s="2"/>
      <c r="O4" s="2"/>
      <c r="P4" s="2"/>
      <c r="Q4" s="2"/>
      <c r="R4" s="2"/>
      <c r="S4" s="2"/>
      <c r="T4" s="2"/>
      <c r="U4" s="2"/>
      <c r="V4" s="2"/>
      <c r="W4" s="2"/>
      <c r="X4" s="2"/>
    </row>
    <row r="5" ht="12.75" customHeight="1">
      <c r="A5" s="27"/>
      <c r="B5" s="28"/>
      <c r="C5" s="30" t="s">
        <v>34</v>
      </c>
      <c r="D5" s="31">
        <v>0.4</v>
      </c>
      <c r="E5" s="28" t="s">
        <v>35</v>
      </c>
      <c r="F5" s="27"/>
      <c r="G5" s="2"/>
      <c r="H5" s="2"/>
      <c r="I5" s="2"/>
      <c r="J5" s="2"/>
      <c r="K5" s="2"/>
      <c r="L5" s="2"/>
      <c r="M5" s="2"/>
      <c r="N5" s="2"/>
      <c r="O5" s="2"/>
      <c r="P5" s="2"/>
      <c r="Q5" s="2"/>
      <c r="R5" s="2"/>
      <c r="S5" s="2"/>
      <c r="T5" s="2"/>
      <c r="U5" s="2"/>
      <c r="V5" s="2"/>
      <c r="W5" s="2"/>
      <c r="X5" s="2"/>
    </row>
    <row r="6" ht="12.75" customHeight="1">
      <c r="A6" s="27"/>
      <c r="B6" s="28"/>
      <c r="C6" s="30" t="s">
        <v>36</v>
      </c>
      <c r="D6" s="31">
        <v>0.26</v>
      </c>
      <c r="E6" s="28" t="s">
        <v>37</v>
      </c>
      <c r="F6" s="27"/>
      <c r="G6" s="2"/>
      <c r="H6" s="2"/>
      <c r="I6" s="2"/>
      <c r="J6" s="2"/>
      <c r="K6" s="2"/>
      <c r="L6" s="2"/>
      <c r="M6" s="2"/>
      <c r="N6" s="2"/>
      <c r="O6" s="2"/>
      <c r="P6" s="2"/>
      <c r="Q6" s="2"/>
      <c r="R6" s="2"/>
      <c r="S6" s="2"/>
      <c r="T6" s="2"/>
      <c r="U6" s="2"/>
      <c r="V6" s="2"/>
      <c r="W6" s="2"/>
      <c r="X6" s="2"/>
    </row>
    <row r="7" ht="12.75" customHeight="1">
      <c r="A7" s="27"/>
      <c r="B7" s="28"/>
      <c r="C7" s="30" t="s">
        <v>38</v>
      </c>
      <c r="D7" s="32">
        <v>0.35</v>
      </c>
      <c r="E7" s="28" t="s">
        <v>39</v>
      </c>
      <c r="F7" s="27"/>
      <c r="G7" s="2"/>
      <c r="H7" s="2"/>
      <c r="I7" s="2"/>
      <c r="J7" s="2"/>
      <c r="K7" s="2"/>
      <c r="L7" s="2"/>
      <c r="M7" s="2"/>
      <c r="N7" s="2"/>
      <c r="O7" s="2"/>
      <c r="P7" s="2"/>
      <c r="Q7" s="2"/>
      <c r="R7" s="2"/>
      <c r="S7" s="2"/>
      <c r="T7" s="2"/>
      <c r="U7" s="2"/>
      <c r="V7" s="2"/>
      <c r="W7" s="2"/>
      <c r="X7" s="2"/>
    </row>
    <row r="8" ht="12.75" customHeight="1">
      <c r="A8" s="27"/>
      <c r="B8" s="28"/>
      <c r="C8" s="33" t="s">
        <v>40</v>
      </c>
      <c r="D8" s="34">
        <v>21.0</v>
      </c>
      <c r="E8" s="28"/>
      <c r="F8" s="27"/>
      <c r="G8" s="2"/>
      <c r="H8" s="2"/>
      <c r="I8" s="2"/>
      <c r="J8" s="2"/>
      <c r="K8" s="2"/>
      <c r="L8" s="2"/>
      <c r="M8" s="2"/>
      <c r="N8" s="2"/>
      <c r="O8" s="2"/>
      <c r="P8" s="2"/>
      <c r="Q8" s="2"/>
      <c r="R8" s="2"/>
      <c r="S8" s="2"/>
      <c r="T8" s="2"/>
      <c r="U8" s="2"/>
      <c r="V8" s="2"/>
      <c r="W8" s="2"/>
      <c r="X8" s="2"/>
    </row>
    <row r="9" ht="12.75" customHeight="1">
      <c r="A9" s="27"/>
      <c r="B9" s="28"/>
      <c r="C9" s="33" t="s">
        <v>41</v>
      </c>
      <c r="D9" s="34">
        <v>21.0</v>
      </c>
      <c r="E9" s="28"/>
      <c r="F9" s="27"/>
      <c r="G9" s="2"/>
      <c r="H9" s="2"/>
      <c r="I9" s="2"/>
      <c r="J9" s="2"/>
      <c r="K9" s="2"/>
      <c r="L9" s="2"/>
      <c r="M9" s="2"/>
      <c r="N9" s="2"/>
      <c r="O9" s="2"/>
      <c r="P9" s="2"/>
      <c r="Q9" s="2"/>
      <c r="R9" s="2"/>
      <c r="S9" s="2"/>
      <c r="T9" s="2"/>
      <c r="U9" s="2"/>
      <c r="V9" s="2"/>
      <c r="W9" s="2"/>
      <c r="X9" s="2"/>
    </row>
    <row r="10" ht="12.75" customHeight="1">
      <c r="A10" s="27"/>
      <c r="B10" s="28"/>
      <c r="C10" s="33" t="s">
        <v>42</v>
      </c>
      <c r="D10" s="35">
        <v>12.0</v>
      </c>
      <c r="E10" s="28"/>
      <c r="F10" s="27"/>
      <c r="G10" s="2"/>
      <c r="H10" s="2"/>
      <c r="I10" s="2"/>
      <c r="J10" s="2"/>
      <c r="K10" s="2"/>
      <c r="L10" s="2"/>
      <c r="M10" s="2"/>
      <c r="N10" s="2"/>
      <c r="O10" s="2"/>
      <c r="P10" s="2"/>
      <c r="Q10" s="2"/>
      <c r="R10" s="2"/>
      <c r="S10" s="2"/>
      <c r="T10" s="2"/>
      <c r="U10" s="2"/>
      <c r="V10" s="2"/>
      <c r="W10" s="2"/>
      <c r="X10" s="2"/>
    </row>
    <row r="11" ht="12.75" customHeight="1">
      <c r="A11" s="27"/>
      <c r="B11" s="28"/>
      <c r="C11" s="33" t="s">
        <v>43</v>
      </c>
      <c r="D11" s="35">
        <v>365.0</v>
      </c>
      <c r="E11" s="28"/>
      <c r="F11" s="27"/>
      <c r="G11" s="2"/>
      <c r="H11" s="2"/>
      <c r="I11" s="2"/>
      <c r="J11" s="2"/>
      <c r="K11" s="2"/>
      <c r="L11" s="2"/>
      <c r="M11" s="2"/>
      <c r="N11" s="2"/>
      <c r="O11" s="2"/>
      <c r="P11" s="2"/>
      <c r="Q11" s="2"/>
      <c r="R11" s="2"/>
      <c r="S11" s="2"/>
      <c r="T11" s="2"/>
      <c r="U11" s="2"/>
      <c r="V11" s="2"/>
      <c r="W11" s="2"/>
      <c r="X11" s="2"/>
    </row>
    <row r="12" ht="12.75" customHeight="1">
      <c r="A12" s="27"/>
      <c r="B12" s="28"/>
      <c r="C12" s="30" t="s">
        <v>44</v>
      </c>
      <c r="D12" s="34">
        <v>8.0</v>
      </c>
      <c r="E12" s="28"/>
      <c r="F12" s="27"/>
      <c r="G12" s="2"/>
      <c r="H12" s="2"/>
      <c r="I12" s="2"/>
      <c r="J12" s="2"/>
      <c r="K12" s="2"/>
      <c r="L12" s="2"/>
      <c r="M12" s="2"/>
      <c r="N12" s="2"/>
      <c r="O12" s="2"/>
      <c r="P12" s="2"/>
      <c r="Q12" s="2"/>
      <c r="R12" s="2"/>
      <c r="S12" s="2"/>
      <c r="T12" s="2"/>
      <c r="U12" s="2"/>
      <c r="V12" s="2"/>
      <c r="W12" s="2"/>
      <c r="X12" s="2"/>
    </row>
    <row r="13" ht="12.75" customHeight="1">
      <c r="A13" s="27"/>
      <c r="B13" s="28"/>
      <c r="C13" s="30" t="s">
        <v>45</v>
      </c>
      <c r="D13" s="34">
        <v>8.0</v>
      </c>
      <c r="E13" s="28"/>
      <c r="F13" s="27"/>
      <c r="G13" s="2"/>
      <c r="H13" s="2"/>
      <c r="I13" s="2"/>
      <c r="J13" s="2"/>
      <c r="K13" s="2"/>
      <c r="L13" s="2"/>
      <c r="M13" s="2"/>
      <c r="N13" s="2"/>
      <c r="O13" s="2"/>
      <c r="P13" s="2"/>
      <c r="Q13" s="2"/>
      <c r="R13" s="2"/>
      <c r="S13" s="2"/>
      <c r="T13" s="2"/>
      <c r="U13" s="2"/>
      <c r="V13" s="2"/>
      <c r="W13" s="2"/>
      <c r="X13" s="2"/>
    </row>
    <row r="14" ht="12.75" customHeight="1">
      <c r="A14" s="27"/>
      <c r="B14" s="28"/>
      <c r="C14" s="36" t="s">
        <v>46</v>
      </c>
      <c r="D14" s="31">
        <v>0.0</v>
      </c>
      <c r="E14" s="28"/>
      <c r="F14" s="27"/>
      <c r="G14" s="2"/>
      <c r="H14" s="2"/>
      <c r="I14" s="2"/>
      <c r="J14" s="2"/>
      <c r="K14" s="2"/>
      <c r="L14" s="2"/>
      <c r="M14" s="2"/>
      <c r="N14" s="2"/>
      <c r="O14" s="2"/>
      <c r="P14" s="2"/>
      <c r="Q14" s="2"/>
      <c r="R14" s="2"/>
      <c r="S14" s="2"/>
      <c r="T14" s="2"/>
      <c r="U14" s="2"/>
      <c r="V14" s="2"/>
      <c r="W14" s="2"/>
      <c r="X14" s="2"/>
    </row>
    <row r="15" ht="12.75" customHeight="1">
      <c r="A15" s="27"/>
      <c r="B15" s="28"/>
      <c r="C15" s="36" t="s">
        <v>47</v>
      </c>
      <c r="D15" s="37">
        <v>0.045</v>
      </c>
      <c r="E15" s="28"/>
      <c r="F15" s="27"/>
      <c r="G15" s="2"/>
      <c r="H15" s="2"/>
      <c r="I15" s="2"/>
      <c r="J15" s="2"/>
      <c r="K15" s="2"/>
      <c r="L15" s="2"/>
      <c r="M15" s="2"/>
      <c r="N15" s="2"/>
      <c r="O15" s="2"/>
      <c r="P15" s="2"/>
      <c r="Q15" s="2"/>
      <c r="R15" s="2"/>
      <c r="S15" s="2"/>
      <c r="T15" s="2"/>
      <c r="U15" s="2"/>
      <c r="V15" s="2"/>
      <c r="W15" s="2"/>
      <c r="X15" s="2"/>
    </row>
    <row r="16" ht="12.75" customHeight="1">
      <c r="A16" s="27"/>
      <c r="B16" s="28"/>
      <c r="C16" s="36" t="s">
        <v>48</v>
      </c>
      <c r="D16" s="31">
        <v>0.21</v>
      </c>
      <c r="E16" s="28"/>
      <c r="F16" s="27"/>
      <c r="G16" s="2"/>
      <c r="H16" s="2"/>
      <c r="I16" s="2"/>
      <c r="J16" s="2"/>
      <c r="K16" s="2"/>
      <c r="L16" s="2"/>
      <c r="M16" s="2"/>
      <c r="N16" s="2"/>
      <c r="O16" s="2"/>
      <c r="P16" s="2"/>
      <c r="Q16" s="2"/>
      <c r="R16" s="2"/>
      <c r="S16" s="2"/>
      <c r="T16" s="2"/>
      <c r="U16" s="2"/>
      <c r="V16" s="2"/>
      <c r="W16" s="2"/>
      <c r="X16" s="2"/>
    </row>
    <row r="17" ht="12.75" customHeight="1">
      <c r="A17" s="27"/>
      <c r="B17" s="28"/>
      <c r="C17" s="36" t="s">
        <v>49</v>
      </c>
      <c r="D17" s="31">
        <v>0.35</v>
      </c>
      <c r="E17" s="28"/>
      <c r="F17" s="27"/>
      <c r="G17" s="2"/>
      <c r="H17" s="2"/>
      <c r="I17" s="2"/>
      <c r="J17" s="2"/>
      <c r="K17" s="2"/>
      <c r="L17" s="2"/>
      <c r="M17" s="2"/>
      <c r="N17" s="2"/>
      <c r="O17" s="2"/>
      <c r="P17" s="2"/>
      <c r="Q17" s="2"/>
      <c r="R17" s="2"/>
      <c r="S17" s="2"/>
      <c r="T17" s="2"/>
      <c r="U17" s="2"/>
      <c r="V17" s="2"/>
      <c r="W17" s="2"/>
      <c r="X17" s="2"/>
    </row>
    <row r="18" ht="12.75" customHeight="1">
      <c r="A18" s="27"/>
      <c r="B18" s="28"/>
      <c r="C18" s="36" t="s">
        <v>50</v>
      </c>
      <c r="D18" s="31">
        <v>0.6</v>
      </c>
      <c r="E18" s="28"/>
      <c r="F18" s="27"/>
      <c r="G18" s="2"/>
      <c r="H18" s="2"/>
      <c r="I18" s="2"/>
      <c r="J18" s="2"/>
      <c r="K18" s="2"/>
      <c r="L18" s="2"/>
      <c r="M18" s="2"/>
      <c r="N18" s="2"/>
      <c r="O18" s="2"/>
      <c r="P18" s="2"/>
      <c r="Q18" s="2"/>
      <c r="R18" s="2"/>
      <c r="S18" s="2"/>
      <c r="T18" s="2"/>
      <c r="U18" s="2"/>
      <c r="V18" s="2"/>
      <c r="W18" s="2"/>
      <c r="X18" s="2"/>
    </row>
    <row r="19" ht="12.75" customHeight="1">
      <c r="A19" s="27"/>
      <c r="B19" s="28"/>
      <c r="C19" s="38"/>
      <c r="D19" s="39"/>
      <c r="E19" s="28"/>
      <c r="F19" s="27"/>
      <c r="G19" s="2"/>
      <c r="H19" s="2"/>
      <c r="I19" s="2"/>
      <c r="J19" s="2"/>
      <c r="K19" s="2"/>
      <c r="L19" s="2"/>
      <c r="M19" s="2"/>
      <c r="N19" s="2"/>
      <c r="O19" s="2"/>
      <c r="P19" s="2"/>
      <c r="Q19" s="2"/>
      <c r="R19" s="2"/>
      <c r="S19" s="2"/>
      <c r="T19" s="2"/>
      <c r="U19" s="2"/>
      <c r="V19" s="2"/>
      <c r="W19" s="2"/>
      <c r="X19" s="2"/>
    </row>
    <row r="20" ht="12.75" customHeight="1">
      <c r="A20" s="27"/>
      <c r="B20" s="28"/>
      <c r="C20" s="38"/>
      <c r="D20" s="38"/>
      <c r="E20" s="28"/>
      <c r="F20" s="27"/>
      <c r="G20" s="2"/>
      <c r="H20" s="2"/>
      <c r="I20" s="2"/>
      <c r="J20" s="2"/>
      <c r="K20" s="2"/>
      <c r="L20" s="2"/>
      <c r="M20" s="2"/>
      <c r="N20" s="2"/>
      <c r="O20" s="2"/>
      <c r="P20" s="2"/>
      <c r="Q20" s="2"/>
      <c r="R20" s="2"/>
      <c r="S20" s="2"/>
      <c r="T20" s="2"/>
      <c r="U20" s="2"/>
      <c r="V20" s="2"/>
      <c r="W20" s="2"/>
      <c r="X20" s="2"/>
    </row>
    <row r="21" ht="12.75" customHeight="1">
      <c r="A21" s="27"/>
      <c r="B21" s="28"/>
      <c r="C21" s="40" t="s">
        <v>51</v>
      </c>
      <c r="D21" s="41"/>
      <c r="E21" s="28"/>
      <c r="F21" s="27"/>
      <c r="G21" s="2"/>
      <c r="H21" s="2"/>
      <c r="I21" s="2"/>
      <c r="J21" s="2"/>
      <c r="K21" s="2"/>
      <c r="L21" s="2"/>
      <c r="M21" s="2"/>
      <c r="N21" s="2"/>
      <c r="O21" s="2"/>
      <c r="P21" s="2"/>
      <c r="Q21" s="2"/>
      <c r="R21" s="2"/>
      <c r="S21" s="2"/>
      <c r="T21" s="2"/>
      <c r="U21" s="2"/>
      <c r="V21" s="2"/>
      <c r="W21" s="2"/>
      <c r="X21" s="2"/>
    </row>
    <row r="22" ht="12.75" customHeight="1">
      <c r="A22" s="27"/>
      <c r="B22" s="28"/>
      <c r="C22" s="40" t="s">
        <v>52</v>
      </c>
      <c r="D22" s="40"/>
      <c r="E22" s="28"/>
      <c r="F22" s="27"/>
      <c r="G22" s="2"/>
      <c r="H22" s="2"/>
      <c r="I22" s="2"/>
      <c r="J22" s="2"/>
      <c r="K22" s="2"/>
      <c r="L22" s="2"/>
      <c r="M22" s="2"/>
      <c r="N22" s="2"/>
      <c r="O22" s="2"/>
      <c r="P22" s="2"/>
      <c r="Q22" s="2"/>
      <c r="R22" s="2"/>
      <c r="S22" s="2"/>
      <c r="T22" s="2"/>
      <c r="U22" s="2"/>
      <c r="V22" s="2"/>
      <c r="W22" s="2"/>
      <c r="X22" s="2"/>
    </row>
    <row r="23" ht="12.75" customHeight="1">
      <c r="A23" s="27"/>
      <c r="B23" s="28"/>
      <c r="C23" s="28"/>
      <c r="D23" s="28"/>
      <c r="E23" s="28"/>
      <c r="F23" s="27"/>
      <c r="G23" s="2"/>
      <c r="H23" s="2"/>
      <c r="I23" s="2"/>
      <c r="J23" s="2"/>
      <c r="K23" s="2"/>
      <c r="L23" s="2"/>
      <c r="M23" s="2"/>
      <c r="N23" s="2"/>
      <c r="O23" s="2"/>
      <c r="P23" s="2"/>
      <c r="Q23" s="2"/>
      <c r="R23" s="2"/>
      <c r="S23" s="2"/>
      <c r="T23" s="2"/>
      <c r="U23" s="2"/>
      <c r="V23" s="2"/>
      <c r="W23" s="2"/>
      <c r="X23" s="2"/>
    </row>
    <row r="24" ht="12.75" customHeight="1">
      <c r="A24" s="27"/>
      <c r="B24" s="27"/>
      <c r="C24" s="27"/>
      <c r="D24" s="27"/>
      <c r="E24" s="27"/>
      <c r="F24" s="27"/>
      <c r="G24" s="2"/>
      <c r="H24" s="2"/>
      <c r="I24" s="2"/>
      <c r="J24" s="2"/>
      <c r="K24" s="2"/>
      <c r="L24" s="2"/>
      <c r="M24" s="2"/>
      <c r="N24" s="2"/>
      <c r="O24" s="2"/>
      <c r="P24" s="2"/>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99"/>
    <outlinePr summaryBelow="0" summaryRight="0"/>
    <pageSetUpPr/>
  </sheetPr>
  <sheetViews>
    <sheetView showGridLines="0" workbookViewId="0"/>
  </sheetViews>
  <sheetFormatPr customHeight="1" defaultColWidth="14.43" defaultRowHeight="15.0"/>
  <cols>
    <col customWidth="1" min="1" max="1" width="6.0"/>
    <col customWidth="1" min="2" max="2" width="2.57"/>
    <col customWidth="1" min="3" max="3" width="12.43"/>
    <col customWidth="1" min="4" max="4" width="28.57"/>
    <col customWidth="1" min="5" max="5" width="13.71"/>
    <col customWidth="1" min="6" max="6" width="14.0"/>
    <col customWidth="1" min="7" max="7" width="14.43"/>
    <col customWidth="1" min="8" max="8" width="13.29"/>
    <col customWidth="1" min="9" max="9" width="17.43"/>
    <col customWidth="1" min="10" max="10" width="18.57"/>
    <col customWidth="1" min="11" max="11" width="9.71"/>
    <col customWidth="1" min="12" max="12" width="17.29"/>
    <col customWidth="1" min="13" max="13" width="4.14"/>
    <col customWidth="1" min="14" max="26" width="17.29"/>
  </cols>
  <sheetData>
    <row r="1" ht="15.75" customHeight="1">
      <c r="A1" s="27"/>
      <c r="B1" s="27"/>
      <c r="C1" s="27"/>
      <c r="D1" s="27"/>
      <c r="E1" s="27"/>
      <c r="F1" s="27"/>
      <c r="G1" s="27"/>
      <c r="H1" s="27"/>
      <c r="I1" s="27"/>
      <c r="J1" s="27"/>
      <c r="K1" s="27"/>
      <c r="L1" s="27"/>
      <c r="M1" s="27"/>
      <c r="N1" s="27"/>
      <c r="O1" s="27"/>
      <c r="P1" s="2"/>
      <c r="Q1" s="2"/>
      <c r="R1" s="2"/>
      <c r="S1" s="2"/>
      <c r="T1" s="2"/>
      <c r="U1" s="2"/>
      <c r="V1" s="2"/>
      <c r="W1" s="2"/>
      <c r="X1" s="2"/>
      <c r="Y1" s="2"/>
      <c r="Z1" s="2"/>
    </row>
    <row r="2" ht="15.75" customHeight="1">
      <c r="A2" s="27"/>
      <c r="B2" s="28"/>
      <c r="C2" s="28"/>
      <c r="D2" s="28"/>
      <c r="E2" s="28"/>
      <c r="F2" s="28"/>
      <c r="G2" s="28"/>
      <c r="H2" s="28"/>
      <c r="I2" s="28"/>
      <c r="J2" s="28"/>
      <c r="K2" s="28"/>
      <c r="L2" s="28"/>
      <c r="M2" s="28"/>
      <c r="N2" s="27"/>
      <c r="O2" s="27"/>
      <c r="P2" s="2"/>
      <c r="Q2" s="2"/>
      <c r="R2" s="2"/>
      <c r="S2" s="2"/>
      <c r="T2" s="2"/>
      <c r="U2" s="2"/>
      <c r="V2" s="2"/>
      <c r="W2" s="2"/>
      <c r="X2" s="2"/>
      <c r="Y2" s="2"/>
      <c r="Z2" s="2"/>
    </row>
    <row r="3" ht="15.75" customHeight="1">
      <c r="A3" s="27"/>
      <c r="B3" s="28"/>
      <c r="C3" s="29" t="s">
        <v>53</v>
      </c>
      <c r="D3" s="28"/>
      <c r="E3" s="28"/>
      <c r="F3" s="28"/>
      <c r="G3" s="28"/>
      <c r="H3" s="28"/>
      <c r="I3" s="28"/>
      <c r="J3" s="28"/>
      <c r="K3" s="28"/>
      <c r="L3" s="28"/>
      <c r="M3" s="28"/>
      <c r="N3" s="27"/>
      <c r="O3" s="27"/>
      <c r="P3" s="2"/>
      <c r="Q3" s="2"/>
      <c r="R3" s="2"/>
      <c r="S3" s="2"/>
      <c r="T3" s="2"/>
      <c r="U3" s="2"/>
      <c r="V3" s="2"/>
      <c r="W3" s="2"/>
      <c r="X3" s="2"/>
      <c r="Y3" s="2"/>
      <c r="Z3" s="2"/>
    </row>
    <row r="4" ht="12.75" customHeight="1">
      <c r="A4" s="27"/>
      <c r="B4" s="28"/>
      <c r="C4" s="28"/>
      <c r="D4" s="28"/>
      <c r="E4" s="28"/>
      <c r="F4" s="28"/>
      <c r="G4" s="28"/>
      <c r="H4" s="28"/>
      <c r="I4" s="28"/>
      <c r="J4" s="28"/>
      <c r="K4" s="28"/>
      <c r="L4" s="28"/>
      <c r="M4" s="28"/>
      <c r="N4" s="27"/>
      <c r="O4" s="27"/>
      <c r="P4" s="2"/>
      <c r="Q4" s="2"/>
      <c r="R4" s="2"/>
      <c r="S4" s="2"/>
      <c r="T4" s="2"/>
      <c r="U4" s="2"/>
      <c r="V4" s="2"/>
      <c r="W4" s="2"/>
      <c r="X4" s="2"/>
      <c r="Y4" s="2"/>
      <c r="Z4" s="2"/>
    </row>
    <row r="5" ht="38.25" customHeight="1">
      <c r="A5" s="42"/>
      <c r="B5" s="43"/>
      <c r="C5" s="44" t="s">
        <v>54</v>
      </c>
      <c r="D5" s="45"/>
      <c r="E5" s="46" t="s">
        <v>55</v>
      </c>
      <c r="F5" s="46" t="s">
        <v>56</v>
      </c>
      <c r="G5" s="46" t="s">
        <v>57</v>
      </c>
      <c r="H5" s="43"/>
      <c r="I5" s="46" t="s">
        <v>58</v>
      </c>
      <c r="J5" s="46" t="s">
        <v>59</v>
      </c>
      <c r="K5" s="46" t="s">
        <v>60</v>
      </c>
      <c r="L5" s="28"/>
      <c r="M5" s="28"/>
      <c r="N5" s="27"/>
      <c r="O5" s="42"/>
      <c r="P5" s="2"/>
      <c r="Q5" s="2"/>
      <c r="R5" s="2"/>
      <c r="S5" s="2"/>
      <c r="T5" s="2"/>
      <c r="U5" s="2"/>
      <c r="V5" s="2"/>
      <c r="W5" s="2"/>
      <c r="X5" s="2"/>
      <c r="Y5" s="2"/>
      <c r="Z5" s="2"/>
    </row>
    <row r="6" ht="12.75" customHeight="1">
      <c r="A6" s="27"/>
      <c r="B6" s="28"/>
      <c r="C6" s="47" t="s">
        <v>61</v>
      </c>
      <c r="D6" s="45"/>
      <c r="E6" s="48">
        <v>4000000.0</v>
      </c>
      <c r="F6" s="49">
        <v>0.001</v>
      </c>
      <c r="G6" s="50">
        <f>E6*F6</f>
        <v>4000</v>
      </c>
      <c r="H6" s="28"/>
      <c r="I6" s="51">
        <v>0.3</v>
      </c>
      <c r="J6" s="52">
        <v>0.7</v>
      </c>
      <c r="K6" s="52">
        <f>I6+J6</f>
        <v>1</v>
      </c>
      <c r="L6" s="28"/>
      <c r="M6" s="28"/>
      <c r="N6" s="27"/>
      <c r="O6" s="27"/>
      <c r="P6" s="2"/>
      <c r="Q6" s="2"/>
      <c r="R6" s="2"/>
      <c r="S6" s="2"/>
      <c r="T6" s="2"/>
      <c r="U6" s="2"/>
      <c r="V6" s="2"/>
      <c r="W6" s="2"/>
      <c r="X6" s="2"/>
      <c r="Y6" s="2"/>
      <c r="Z6" s="2"/>
    </row>
    <row r="7" ht="12.75" customHeight="1">
      <c r="A7" s="27"/>
      <c r="B7" s="28"/>
      <c r="C7" s="28"/>
      <c r="D7" s="28"/>
      <c r="E7" s="28"/>
      <c r="F7" s="28"/>
      <c r="G7" s="28"/>
      <c r="H7" s="28"/>
      <c r="I7" s="53"/>
      <c r="J7" s="28"/>
      <c r="K7" s="28"/>
      <c r="L7" s="28"/>
      <c r="M7" s="28"/>
      <c r="N7" s="27"/>
      <c r="O7" s="27"/>
      <c r="P7" s="2"/>
      <c r="Q7" s="2"/>
      <c r="R7" s="2"/>
      <c r="S7" s="2"/>
      <c r="T7" s="2"/>
      <c r="U7" s="2"/>
      <c r="V7" s="2"/>
      <c r="W7" s="2"/>
      <c r="X7" s="2"/>
      <c r="Y7" s="2"/>
      <c r="Z7" s="2"/>
    </row>
    <row r="8" ht="12.75" customHeight="1">
      <c r="A8" s="27"/>
      <c r="B8" s="28"/>
      <c r="C8" s="28"/>
      <c r="D8" s="28"/>
      <c r="E8" s="28"/>
      <c r="F8" s="28"/>
      <c r="G8" s="28"/>
      <c r="H8" s="28"/>
      <c r="I8" s="53"/>
      <c r="J8" s="28"/>
      <c r="K8" s="28"/>
      <c r="L8" s="28"/>
      <c r="M8" s="28"/>
      <c r="N8" s="27"/>
      <c r="O8" s="27"/>
      <c r="P8" s="2"/>
      <c r="Q8" s="2"/>
      <c r="R8" s="2"/>
      <c r="S8" s="2"/>
      <c r="T8" s="2"/>
      <c r="U8" s="2"/>
      <c r="V8" s="2"/>
      <c r="W8" s="2"/>
      <c r="X8" s="2"/>
      <c r="Y8" s="2"/>
      <c r="Z8" s="2"/>
    </row>
    <row r="9" ht="12.75" customHeight="1">
      <c r="A9" s="27"/>
      <c r="B9" s="28"/>
      <c r="C9" s="54" t="s">
        <v>62</v>
      </c>
      <c r="D9" s="28"/>
      <c r="E9" s="28"/>
      <c r="F9" s="28"/>
      <c r="G9" s="28"/>
      <c r="H9" s="28"/>
      <c r="I9" s="53"/>
      <c r="J9" s="28"/>
      <c r="K9" s="28"/>
      <c r="L9" s="28"/>
      <c r="M9" s="28"/>
      <c r="N9" s="27"/>
      <c r="O9" s="27"/>
      <c r="P9" s="2"/>
      <c r="Q9" s="2"/>
      <c r="R9" s="2"/>
      <c r="S9" s="2"/>
      <c r="T9" s="2"/>
      <c r="U9" s="2"/>
      <c r="V9" s="2"/>
      <c r="W9" s="2"/>
      <c r="X9" s="2"/>
      <c r="Y9" s="2"/>
      <c r="Z9" s="2"/>
    </row>
    <row r="10" ht="38.25" customHeight="1">
      <c r="A10" s="27"/>
      <c r="B10" s="28"/>
      <c r="C10" s="44" t="s">
        <v>63</v>
      </c>
      <c r="D10" s="45"/>
      <c r="E10" s="46" t="s">
        <v>64</v>
      </c>
      <c r="F10" s="46" t="s">
        <v>65</v>
      </c>
      <c r="G10" s="46" t="s">
        <v>66</v>
      </c>
      <c r="H10" s="46" t="s">
        <v>67</v>
      </c>
      <c r="I10" s="53"/>
      <c r="J10" s="28"/>
      <c r="K10" s="28"/>
      <c r="L10" s="28"/>
      <c r="M10" s="28"/>
      <c r="N10" s="27"/>
      <c r="O10" s="27"/>
      <c r="P10" s="2"/>
      <c r="Q10" s="2"/>
      <c r="R10" s="2"/>
      <c r="S10" s="2"/>
      <c r="T10" s="2"/>
      <c r="U10" s="2"/>
      <c r="V10" s="2"/>
      <c r="W10" s="2"/>
      <c r="X10" s="2"/>
      <c r="Y10" s="2"/>
      <c r="Z10" s="2"/>
    </row>
    <row r="11" ht="12.75" customHeight="1">
      <c r="A11" s="27"/>
      <c r="B11" s="28"/>
      <c r="C11" s="55" t="s">
        <v>68</v>
      </c>
      <c r="D11" s="45"/>
      <c r="E11" s="56">
        <f>G6</f>
        <v>4000</v>
      </c>
      <c r="F11" s="57">
        <v>165000.0</v>
      </c>
      <c r="G11" s="57">
        <v>150000.0</v>
      </c>
      <c r="H11" s="58">
        <v>1.0</v>
      </c>
      <c r="I11" s="59" t="s">
        <v>69</v>
      </c>
      <c r="J11" s="60"/>
      <c r="K11" s="61"/>
      <c r="L11" s="28"/>
      <c r="M11" s="28"/>
      <c r="N11" s="27"/>
      <c r="O11" s="27"/>
      <c r="P11" s="2"/>
      <c r="Q11" s="2"/>
      <c r="R11" s="2"/>
      <c r="S11" s="2"/>
      <c r="T11" s="2"/>
      <c r="U11" s="2"/>
      <c r="V11" s="2"/>
      <c r="W11" s="2"/>
      <c r="X11" s="2"/>
      <c r="Y11" s="2"/>
      <c r="Z11" s="2"/>
    </row>
    <row r="12" ht="12.75" customHeight="1">
      <c r="A12" s="27"/>
      <c r="B12" s="28"/>
      <c r="C12" s="62" t="s">
        <v>70</v>
      </c>
      <c r="D12" s="45"/>
      <c r="E12" s="63"/>
      <c r="F12" s="64"/>
      <c r="G12" s="65"/>
      <c r="H12" s="66">
        <f t="shared" ref="H12:H18" si="1">+E12/$E$19</f>
        <v>0</v>
      </c>
      <c r="I12" s="59" t="s">
        <v>69</v>
      </c>
      <c r="J12" s="60"/>
      <c r="K12" s="61"/>
      <c r="L12" s="28"/>
      <c r="M12" s="28"/>
      <c r="N12" s="27"/>
      <c r="O12" s="27"/>
      <c r="P12" s="2"/>
      <c r="Q12" s="2"/>
      <c r="R12" s="2"/>
      <c r="S12" s="2"/>
      <c r="T12" s="2"/>
      <c r="U12" s="2"/>
      <c r="V12" s="2"/>
      <c r="W12" s="2"/>
      <c r="X12" s="2"/>
      <c r="Y12" s="2"/>
      <c r="Z12" s="2"/>
    </row>
    <row r="13" ht="12.75" customHeight="1">
      <c r="A13" s="27"/>
      <c r="B13" s="28"/>
      <c r="C13" s="62" t="s">
        <v>70</v>
      </c>
      <c r="D13" s="45"/>
      <c r="E13" s="63"/>
      <c r="F13" s="64"/>
      <c r="G13" s="65"/>
      <c r="H13" s="66">
        <f t="shared" si="1"/>
        <v>0</v>
      </c>
      <c r="I13" s="53"/>
      <c r="J13" s="28"/>
      <c r="K13" s="28"/>
      <c r="L13" s="28"/>
      <c r="M13" s="28"/>
      <c r="N13" s="27"/>
      <c r="O13" s="27"/>
      <c r="P13" s="2"/>
      <c r="Q13" s="2"/>
      <c r="R13" s="2"/>
      <c r="S13" s="2"/>
      <c r="T13" s="2"/>
      <c r="U13" s="2"/>
      <c r="V13" s="2"/>
      <c r="W13" s="2"/>
      <c r="X13" s="2"/>
      <c r="Y13" s="2"/>
      <c r="Z13" s="2"/>
    </row>
    <row r="14" ht="12.75" customHeight="1">
      <c r="A14" s="27"/>
      <c r="B14" s="28"/>
      <c r="C14" s="62" t="s">
        <v>70</v>
      </c>
      <c r="D14" s="45"/>
      <c r="E14" s="63"/>
      <c r="F14" s="64"/>
      <c r="G14" s="67"/>
      <c r="H14" s="66">
        <f t="shared" si="1"/>
        <v>0</v>
      </c>
      <c r="I14" s="53"/>
      <c r="J14" s="28"/>
      <c r="K14" s="28"/>
      <c r="L14" s="28"/>
      <c r="M14" s="28"/>
      <c r="N14" s="27"/>
      <c r="O14" s="27"/>
      <c r="P14" s="2"/>
      <c r="Q14" s="2"/>
      <c r="R14" s="2"/>
      <c r="S14" s="2"/>
      <c r="T14" s="2"/>
      <c r="U14" s="2"/>
      <c r="V14" s="2"/>
      <c r="W14" s="2"/>
      <c r="X14" s="2"/>
      <c r="Y14" s="2"/>
      <c r="Z14" s="2"/>
    </row>
    <row r="15" ht="12.75" customHeight="1">
      <c r="A15" s="27"/>
      <c r="B15" s="28"/>
      <c r="C15" s="62" t="s">
        <v>70</v>
      </c>
      <c r="D15" s="45"/>
      <c r="E15" s="63"/>
      <c r="F15" s="64"/>
      <c r="G15" s="65"/>
      <c r="H15" s="66">
        <f t="shared" si="1"/>
        <v>0</v>
      </c>
      <c r="I15" s="53"/>
      <c r="J15" s="28"/>
      <c r="K15" s="28"/>
      <c r="L15" s="28"/>
      <c r="M15" s="28"/>
      <c r="N15" s="27"/>
      <c r="O15" s="27"/>
      <c r="P15" s="2"/>
      <c r="Q15" s="2"/>
      <c r="R15" s="2"/>
      <c r="S15" s="2"/>
      <c r="T15" s="2"/>
      <c r="U15" s="2"/>
      <c r="V15" s="2"/>
      <c r="W15" s="2"/>
      <c r="X15" s="2"/>
      <c r="Y15" s="2"/>
      <c r="Z15" s="2"/>
    </row>
    <row r="16" ht="12.75" customHeight="1">
      <c r="A16" s="27"/>
      <c r="B16" s="28"/>
      <c r="C16" s="62" t="s">
        <v>70</v>
      </c>
      <c r="D16" s="45"/>
      <c r="E16" s="63"/>
      <c r="F16" s="64"/>
      <c r="G16" s="65"/>
      <c r="H16" s="66">
        <f t="shared" si="1"/>
        <v>0</v>
      </c>
      <c r="I16" s="53"/>
      <c r="J16" s="28"/>
      <c r="K16" s="28"/>
      <c r="L16" s="28"/>
      <c r="M16" s="28"/>
      <c r="N16" s="27"/>
      <c r="O16" s="27"/>
      <c r="P16" s="2"/>
      <c r="Q16" s="2"/>
      <c r="R16" s="2"/>
      <c r="S16" s="2"/>
      <c r="T16" s="2"/>
      <c r="U16" s="2"/>
      <c r="V16" s="2"/>
      <c r="W16" s="2"/>
      <c r="X16" s="2"/>
      <c r="Y16" s="2"/>
      <c r="Z16" s="2"/>
    </row>
    <row r="17" ht="12.75" customHeight="1">
      <c r="A17" s="27"/>
      <c r="B17" s="28"/>
      <c r="C17" s="62" t="s">
        <v>70</v>
      </c>
      <c r="D17" s="45"/>
      <c r="E17" s="63"/>
      <c r="F17" s="64"/>
      <c r="G17" s="65"/>
      <c r="H17" s="66">
        <f t="shared" si="1"/>
        <v>0</v>
      </c>
      <c r="I17" s="53"/>
      <c r="J17" s="28"/>
      <c r="K17" s="28"/>
      <c r="L17" s="28"/>
      <c r="M17" s="28"/>
      <c r="N17" s="27"/>
      <c r="O17" s="27"/>
      <c r="P17" s="2"/>
      <c r="Q17" s="2"/>
      <c r="R17" s="2"/>
      <c r="S17" s="2"/>
      <c r="T17" s="2"/>
      <c r="U17" s="2"/>
      <c r="V17" s="2"/>
      <c r="W17" s="2"/>
      <c r="X17" s="2"/>
      <c r="Y17" s="2"/>
      <c r="Z17" s="2"/>
    </row>
    <row r="18" ht="12.75" customHeight="1">
      <c r="A18" s="27"/>
      <c r="B18" s="28"/>
      <c r="C18" s="62" t="s">
        <v>70</v>
      </c>
      <c r="D18" s="45"/>
      <c r="E18" s="63"/>
      <c r="F18" s="64"/>
      <c r="G18" s="65"/>
      <c r="H18" s="66">
        <f t="shared" si="1"/>
        <v>0</v>
      </c>
      <c r="I18" s="53"/>
      <c r="J18" s="28"/>
      <c r="K18" s="28"/>
      <c r="L18" s="28"/>
      <c r="M18" s="28"/>
      <c r="N18" s="27"/>
      <c r="O18" s="27"/>
      <c r="P18" s="2"/>
      <c r="Q18" s="2"/>
      <c r="R18" s="2"/>
      <c r="S18" s="2"/>
      <c r="T18" s="2"/>
      <c r="U18" s="2"/>
      <c r="V18" s="2"/>
      <c r="W18" s="2"/>
      <c r="X18" s="2"/>
      <c r="Y18" s="2"/>
      <c r="Z18" s="2"/>
    </row>
    <row r="19" ht="12.75" customHeight="1">
      <c r="A19" s="27"/>
      <c r="B19" s="28"/>
      <c r="C19" s="28"/>
      <c r="D19" s="28"/>
      <c r="E19" s="68">
        <f>G6</f>
        <v>4000</v>
      </c>
      <c r="F19" s="69">
        <f t="shared" ref="F19:G19" si="2">AVERAGE(F11:F12)</f>
        <v>165000</v>
      </c>
      <c r="G19" s="69">
        <f t="shared" si="2"/>
        <v>150000</v>
      </c>
      <c r="H19" s="70" t="str">
        <f>+IF(G6-E19&lt;&gt;0,"La cantidad vendida debe ser igual a la cantidad de mercado meta","")</f>
        <v/>
      </c>
      <c r="I19" s="53"/>
      <c r="J19" s="28"/>
      <c r="K19" s="28"/>
      <c r="L19" s="28"/>
      <c r="M19" s="28"/>
      <c r="N19" s="27"/>
      <c r="O19" s="27"/>
      <c r="P19" s="2"/>
      <c r="Q19" s="2"/>
      <c r="R19" s="2"/>
      <c r="S19" s="2"/>
      <c r="T19" s="2"/>
      <c r="U19" s="2"/>
      <c r="V19" s="2"/>
      <c r="W19" s="2"/>
      <c r="X19" s="2"/>
      <c r="Y19" s="2"/>
      <c r="Z19" s="2"/>
    </row>
    <row r="20" ht="12.75" customHeight="1">
      <c r="A20" s="27"/>
      <c r="B20" s="28"/>
      <c r="C20" s="28"/>
      <c r="D20" s="28"/>
      <c r="E20" s="28"/>
      <c r="F20" s="28" t="s">
        <v>71</v>
      </c>
      <c r="G20" s="28"/>
      <c r="H20" s="28"/>
      <c r="I20" s="53"/>
      <c r="J20" s="28"/>
      <c r="K20" s="28"/>
      <c r="L20" s="28"/>
      <c r="M20" s="28"/>
      <c r="N20" s="27"/>
      <c r="O20" s="27"/>
      <c r="P20" s="2"/>
      <c r="Q20" s="2"/>
      <c r="R20" s="2"/>
      <c r="S20" s="2"/>
      <c r="T20" s="2"/>
      <c r="U20" s="2"/>
      <c r="V20" s="2"/>
      <c r="W20" s="2"/>
      <c r="X20" s="2"/>
      <c r="Y20" s="2"/>
      <c r="Z20" s="2"/>
    </row>
    <row r="21" ht="12.75" customHeight="1">
      <c r="A21" s="27"/>
      <c r="B21" s="28"/>
      <c r="C21" s="28"/>
      <c r="D21" s="28"/>
      <c r="E21" s="28"/>
      <c r="F21" s="28"/>
      <c r="G21" s="28"/>
      <c r="H21" s="28"/>
      <c r="I21" s="28"/>
      <c r="J21" s="28"/>
      <c r="K21" s="28"/>
      <c r="L21" s="28"/>
      <c r="M21" s="28"/>
      <c r="N21" s="27"/>
      <c r="O21" s="27"/>
      <c r="P21" s="2"/>
      <c r="Q21" s="2"/>
      <c r="R21" s="2"/>
      <c r="S21" s="2"/>
      <c r="T21" s="2"/>
      <c r="U21" s="2"/>
      <c r="V21" s="2"/>
      <c r="W21" s="2"/>
      <c r="X21" s="2"/>
      <c r="Y21" s="2"/>
      <c r="Z21" s="2"/>
    </row>
    <row r="22" ht="48.0" customHeight="1">
      <c r="A22" s="27"/>
      <c r="B22" s="28"/>
      <c r="C22" s="46" t="s">
        <v>72</v>
      </c>
      <c r="D22" s="46" t="s">
        <v>66</v>
      </c>
      <c r="E22" s="46" t="s">
        <v>65</v>
      </c>
      <c r="F22" s="46" t="s">
        <v>73</v>
      </c>
      <c r="G22" s="46" t="s">
        <v>74</v>
      </c>
      <c r="H22" s="46" t="s">
        <v>75</v>
      </c>
      <c r="I22" s="46" t="s">
        <v>76</v>
      </c>
      <c r="J22" s="28"/>
      <c r="K22" s="28"/>
      <c r="L22" s="28"/>
      <c r="M22" s="28"/>
      <c r="N22" s="27"/>
      <c r="O22" s="27"/>
      <c r="P22" s="2"/>
      <c r="Q22" s="2"/>
      <c r="R22" s="2"/>
      <c r="S22" s="2"/>
      <c r="T22" s="2"/>
      <c r="U22" s="2"/>
      <c r="V22" s="2"/>
      <c r="W22" s="2"/>
      <c r="X22" s="2"/>
      <c r="Y22" s="2"/>
      <c r="Z22" s="2"/>
    </row>
    <row r="23" ht="12.75" customHeight="1">
      <c r="A23" s="27"/>
      <c r="B23" s="28"/>
      <c r="C23" s="71">
        <v>1.0</v>
      </c>
      <c r="D23" s="72">
        <f>+G19</f>
        <v>150000</v>
      </c>
      <c r="E23" s="72">
        <f>+F19</f>
        <v>165000</v>
      </c>
      <c r="F23" s="73">
        <f t="shared" ref="F23:F27" si="3">(E23* 0.7) + (D23* 0.3)</f>
        <v>160500</v>
      </c>
      <c r="G23" s="74">
        <v>0.25</v>
      </c>
      <c r="H23" s="75">
        <f t="shared" ref="H23:H27" si="4">$G$6*G23</f>
        <v>1000</v>
      </c>
      <c r="I23" s="52">
        <f t="shared" ref="I23:I27" si="5">+H23/$G$6</f>
        <v>0.25</v>
      </c>
      <c r="J23" s="53"/>
      <c r="K23" s="76"/>
      <c r="L23" s="28"/>
      <c r="M23" s="28"/>
      <c r="N23" s="27"/>
      <c r="O23" s="27"/>
      <c r="P23" s="2"/>
      <c r="Q23" s="2"/>
      <c r="R23" s="2"/>
      <c r="S23" s="2"/>
      <c r="T23" s="2"/>
      <c r="U23" s="2"/>
      <c r="V23" s="2"/>
      <c r="W23" s="2"/>
      <c r="X23" s="2"/>
      <c r="Y23" s="2"/>
      <c r="Z23" s="2"/>
    </row>
    <row r="24" ht="12.75" customHeight="1">
      <c r="A24" s="27"/>
      <c r="B24" s="28"/>
      <c r="C24" s="71">
        <v>2.0</v>
      </c>
      <c r="D24" s="72">
        <f>+D23*(1+Consideraciones!$D$14)</f>
        <v>150000</v>
      </c>
      <c r="E24" s="72">
        <f>+E23*(1+Consideraciones!$D$14)</f>
        <v>165000</v>
      </c>
      <c r="F24" s="73">
        <f t="shared" si="3"/>
        <v>160500</v>
      </c>
      <c r="G24" s="74">
        <v>0.35</v>
      </c>
      <c r="H24" s="75">
        <f t="shared" si="4"/>
        <v>1400</v>
      </c>
      <c r="I24" s="52">
        <f t="shared" si="5"/>
        <v>0.35</v>
      </c>
      <c r="J24" s="28"/>
      <c r="K24" s="28"/>
      <c r="L24" s="28"/>
      <c r="M24" s="28"/>
      <c r="N24" s="27"/>
      <c r="O24" s="27"/>
      <c r="P24" s="2"/>
      <c r="Q24" s="2"/>
      <c r="R24" s="2"/>
      <c r="S24" s="2"/>
      <c r="T24" s="2"/>
      <c r="U24" s="2"/>
      <c r="V24" s="2"/>
      <c r="W24" s="2"/>
      <c r="X24" s="2"/>
      <c r="Y24" s="2"/>
      <c r="Z24" s="2"/>
    </row>
    <row r="25" ht="12.75" customHeight="1">
      <c r="A25" s="27"/>
      <c r="B25" s="28"/>
      <c r="C25" s="71">
        <v>3.0</v>
      </c>
      <c r="D25" s="72">
        <f>+D24*(1+Consideraciones!$D$14)</f>
        <v>150000</v>
      </c>
      <c r="E25" s="72">
        <f>+E24*(1+Consideraciones!$D$14)</f>
        <v>165000</v>
      </c>
      <c r="F25" s="73">
        <f t="shared" si="3"/>
        <v>160500</v>
      </c>
      <c r="G25" s="74">
        <v>0.5</v>
      </c>
      <c r="H25" s="75">
        <f t="shared" si="4"/>
        <v>2000</v>
      </c>
      <c r="I25" s="52">
        <f t="shared" si="5"/>
        <v>0.5</v>
      </c>
      <c r="J25" s="28"/>
      <c r="K25" s="28"/>
      <c r="L25" s="28"/>
      <c r="M25" s="28"/>
      <c r="N25" s="27"/>
      <c r="O25" s="27"/>
      <c r="P25" s="2"/>
      <c r="Q25" s="2"/>
      <c r="R25" s="2"/>
      <c r="S25" s="2"/>
      <c r="T25" s="2"/>
      <c r="U25" s="2"/>
      <c r="V25" s="2"/>
      <c r="W25" s="2"/>
      <c r="X25" s="2"/>
      <c r="Y25" s="2"/>
      <c r="Z25" s="2"/>
    </row>
    <row r="26" ht="12.75" customHeight="1">
      <c r="A26" s="27"/>
      <c r="B26" s="28"/>
      <c r="C26" s="71">
        <v>4.0</v>
      </c>
      <c r="D26" s="72">
        <f>+D25*(1+Consideraciones!$D$14)</f>
        <v>150000</v>
      </c>
      <c r="E26" s="72">
        <f>+E25*(1+Consideraciones!$D$14)</f>
        <v>165000</v>
      </c>
      <c r="F26" s="73">
        <f t="shared" si="3"/>
        <v>160500</v>
      </c>
      <c r="G26" s="74">
        <v>0.7</v>
      </c>
      <c r="H26" s="75">
        <f t="shared" si="4"/>
        <v>2800</v>
      </c>
      <c r="I26" s="52">
        <f t="shared" si="5"/>
        <v>0.7</v>
      </c>
      <c r="J26" s="77"/>
      <c r="K26" s="28"/>
      <c r="L26" s="28"/>
      <c r="M26" s="28"/>
      <c r="N26" s="27"/>
      <c r="O26" s="27"/>
      <c r="P26" s="2"/>
      <c r="Q26" s="2"/>
      <c r="R26" s="2"/>
      <c r="S26" s="2"/>
      <c r="T26" s="2"/>
      <c r="U26" s="2"/>
      <c r="V26" s="2"/>
      <c r="W26" s="2"/>
      <c r="X26" s="2"/>
      <c r="Y26" s="2"/>
      <c r="Z26" s="2"/>
    </row>
    <row r="27" ht="12.75" customHeight="1">
      <c r="A27" s="27"/>
      <c r="B27" s="28"/>
      <c r="C27" s="71">
        <v>5.0</v>
      </c>
      <c r="D27" s="72">
        <f>+D26*(1+Consideraciones!$D$14)</f>
        <v>150000</v>
      </c>
      <c r="E27" s="72">
        <f>+E26*(1+Consideraciones!$D$14)</f>
        <v>165000</v>
      </c>
      <c r="F27" s="73">
        <f t="shared" si="3"/>
        <v>160500</v>
      </c>
      <c r="G27" s="78">
        <v>1.0</v>
      </c>
      <c r="H27" s="75">
        <f t="shared" si="4"/>
        <v>4000</v>
      </c>
      <c r="I27" s="52">
        <f t="shared" si="5"/>
        <v>1</v>
      </c>
      <c r="J27" s="28"/>
      <c r="K27" s="28"/>
      <c r="L27" s="28"/>
      <c r="M27" s="28"/>
      <c r="N27" s="27"/>
      <c r="O27" s="27"/>
      <c r="P27" s="2"/>
      <c r="Q27" s="2"/>
      <c r="R27" s="2"/>
      <c r="S27" s="2"/>
      <c r="T27" s="2"/>
      <c r="U27" s="2"/>
      <c r="V27" s="2"/>
      <c r="W27" s="2"/>
      <c r="X27" s="2"/>
      <c r="Y27" s="2"/>
      <c r="Z27" s="2"/>
    </row>
    <row r="28" ht="15.75" customHeight="1">
      <c r="A28" s="27"/>
      <c r="B28" s="28"/>
      <c r="C28" s="28"/>
      <c r="D28" s="79"/>
      <c r="E28" s="79"/>
      <c r="F28" s="28"/>
      <c r="G28" s="80"/>
      <c r="H28" s="81" t="str">
        <f>+IF(H27&gt;G6,"Cantidad a vender mayor al mercado meta","")</f>
        <v/>
      </c>
      <c r="I28" s="80"/>
      <c r="J28" s="28"/>
      <c r="K28" s="28"/>
      <c r="L28" s="28"/>
      <c r="M28" s="28"/>
      <c r="N28" s="27"/>
      <c r="O28" s="27"/>
      <c r="P28" s="2"/>
      <c r="Q28" s="2"/>
      <c r="R28" s="2"/>
      <c r="S28" s="2"/>
      <c r="T28" s="2"/>
      <c r="U28" s="2"/>
      <c r="V28" s="2"/>
      <c r="W28" s="2"/>
      <c r="X28" s="2"/>
      <c r="Y28" s="2"/>
      <c r="Z28" s="2"/>
    </row>
    <row r="29" ht="12.75" customHeight="1">
      <c r="A29" s="27"/>
      <c r="B29" s="28"/>
      <c r="C29" s="28"/>
      <c r="D29" s="28"/>
      <c r="E29" s="28"/>
      <c r="F29" s="28"/>
      <c r="G29" s="28"/>
      <c r="H29" s="28"/>
      <c r="I29" s="28"/>
      <c r="J29" s="28"/>
      <c r="K29" s="28"/>
      <c r="L29" s="28"/>
      <c r="M29" s="28"/>
      <c r="N29" s="27"/>
      <c r="O29" s="27"/>
      <c r="P29" s="2"/>
      <c r="Q29" s="2"/>
      <c r="R29" s="2"/>
      <c r="S29" s="2"/>
      <c r="T29" s="2"/>
      <c r="U29" s="2"/>
      <c r="V29" s="2"/>
      <c r="W29" s="2"/>
      <c r="X29" s="2"/>
      <c r="Y29" s="2"/>
      <c r="Z29" s="2"/>
    </row>
    <row r="30" ht="12.75" customHeight="1">
      <c r="A30" s="27"/>
      <c r="B30" s="28"/>
      <c r="C30" s="82" t="s">
        <v>77</v>
      </c>
      <c r="D30" s="28"/>
      <c r="E30" s="28"/>
      <c r="F30" s="28"/>
      <c r="G30" s="28"/>
      <c r="H30" s="28"/>
      <c r="I30" s="28"/>
      <c r="J30" s="28"/>
      <c r="K30" s="28"/>
      <c r="L30" s="28"/>
      <c r="M30" s="28"/>
      <c r="N30" s="27"/>
      <c r="O30" s="28"/>
      <c r="P30" s="2"/>
      <c r="Q30" s="2"/>
      <c r="R30" s="2"/>
      <c r="S30" s="2"/>
      <c r="T30" s="2"/>
      <c r="U30" s="2"/>
      <c r="V30" s="2"/>
      <c r="W30" s="2"/>
      <c r="X30" s="2"/>
      <c r="Y30" s="2"/>
      <c r="Z30" s="2"/>
    </row>
    <row r="31" ht="12.75" customHeight="1">
      <c r="A31" s="27"/>
      <c r="B31" s="28"/>
      <c r="C31" s="28"/>
      <c r="D31" s="28"/>
      <c r="E31" s="28"/>
      <c r="F31" s="28"/>
      <c r="G31" s="28"/>
      <c r="H31" s="28"/>
      <c r="I31" s="28"/>
      <c r="J31" s="28"/>
      <c r="K31" s="28"/>
      <c r="L31" s="28"/>
      <c r="M31" s="28"/>
      <c r="N31" s="27"/>
      <c r="O31" s="28"/>
      <c r="P31" s="2"/>
      <c r="Q31" s="2"/>
      <c r="R31" s="2"/>
      <c r="S31" s="2"/>
      <c r="T31" s="2"/>
      <c r="U31" s="2"/>
      <c r="V31" s="2"/>
      <c r="W31" s="2"/>
      <c r="X31" s="2"/>
      <c r="Y31" s="2"/>
      <c r="Z31" s="2"/>
    </row>
    <row r="32" ht="12.75" customHeight="1">
      <c r="A32" s="27"/>
      <c r="B32" s="28"/>
      <c r="C32" s="28" t="s">
        <v>78</v>
      </c>
      <c r="D32" s="28"/>
      <c r="E32" s="28"/>
      <c r="F32" s="28"/>
      <c r="G32" s="28"/>
      <c r="H32" s="28"/>
      <c r="I32" s="28"/>
      <c r="J32" s="28"/>
      <c r="K32" s="28"/>
      <c r="L32" s="28"/>
      <c r="M32" s="28"/>
      <c r="N32" s="27"/>
      <c r="O32" s="28"/>
      <c r="P32" s="2"/>
      <c r="Q32" s="2"/>
      <c r="R32" s="2"/>
      <c r="S32" s="2"/>
      <c r="T32" s="2"/>
      <c r="U32" s="2"/>
      <c r="V32" s="2"/>
      <c r="W32" s="2"/>
      <c r="X32" s="2"/>
      <c r="Y32" s="2"/>
      <c r="Z32" s="2"/>
    </row>
    <row r="33" ht="12.75" customHeight="1">
      <c r="A33" s="27"/>
      <c r="B33" s="28"/>
      <c r="C33" s="28" t="s">
        <v>79</v>
      </c>
      <c r="D33" s="28"/>
      <c r="E33" s="28"/>
      <c r="F33" s="28"/>
      <c r="G33" s="28"/>
      <c r="H33" s="28"/>
      <c r="I33" s="28"/>
      <c r="J33" s="28"/>
      <c r="K33" s="28"/>
      <c r="L33" s="28"/>
      <c r="M33" s="28"/>
      <c r="N33" s="27"/>
      <c r="O33" s="28"/>
      <c r="P33" s="2"/>
      <c r="Q33" s="2"/>
      <c r="R33" s="2"/>
      <c r="S33" s="2"/>
      <c r="T33" s="2"/>
      <c r="U33" s="2"/>
      <c r="V33" s="2"/>
      <c r="W33" s="2"/>
      <c r="X33" s="2"/>
      <c r="Y33" s="2"/>
      <c r="Z33" s="2"/>
    </row>
    <row r="34" ht="12.75" customHeight="1">
      <c r="A34" s="27"/>
      <c r="B34" s="28"/>
      <c r="C34" s="28"/>
      <c r="D34" s="28"/>
      <c r="E34" s="28"/>
      <c r="F34" s="28"/>
      <c r="G34" s="28"/>
      <c r="H34" s="28"/>
      <c r="I34" s="28"/>
      <c r="J34" s="28"/>
      <c r="K34" s="28"/>
      <c r="L34" s="28"/>
      <c r="M34" s="28"/>
      <c r="N34" s="27"/>
      <c r="O34" s="28"/>
      <c r="P34" s="2"/>
      <c r="Q34" s="2"/>
      <c r="R34" s="2"/>
      <c r="S34" s="2"/>
      <c r="T34" s="2"/>
      <c r="U34" s="2"/>
      <c r="V34" s="2"/>
      <c r="W34" s="2"/>
      <c r="X34" s="2"/>
      <c r="Y34" s="2"/>
      <c r="Z34" s="2"/>
    </row>
    <row r="35" ht="12.75" customHeight="1">
      <c r="A35" s="27"/>
      <c r="B35" s="28"/>
      <c r="C35" s="28"/>
      <c r="D35" s="28"/>
      <c r="E35" s="28"/>
      <c r="F35" s="28"/>
      <c r="G35" s="28"/>
      <c r="H35" s="28"/>
      <c r="I35" s="28"/>
      <c r="J35" s="28"/>
      <c r="K35" s="28"/>
      <c r="L35" s="28"/>
      <c r="M35" s="28"/>
      <c r="N35" s="27"/>
      <c r="O35" s="27"/>
      <c r="P35" s="2"/>
      <c r="Q35" s="2"/>
      <c r="R35" s="2"/>
      <c r="S35" s="2"/>
      <c r="T35" s="2"/>
      <c r="U35" s="2"/>
      <c r="V35" s="2"/>
      <c r="W35" s="2"/>
      <c r="X35" s="2"/>
      <c r="Y35" s="2"/>
      <c r="Z35" s="2"/>
    </row>
    <row r="36" ht="18.0" customHeight="1">
      <c r="A36" s="27"/>
      <c r="B36" s="28"/>
      <c r="C36" s="28"/>
      <c r="D36" s="83"/>
      <c r="E36" s="28"/>
      <c r="F36" s="28"/>
      <c r="G36" s="28"/>
      <c r="H36" s="28"/>
      <c r="I36" s="28"/>
      <c r="J36" s="28"/>
      <c r="K36" s="28"/>
      <c r="L36" s="28"/>
      <c r="M36" s="28"/>
      <c r="N36" s="27"/>
      <c r="O36" s="27"/>
      <c r="P36" s="2"/>
      <c r="Q36" s="2"/>
      <c r="R36" s="2"/>
      <c r="S36" s="2"/>
      <c r="T36" s="2"/>
      <c r="U36" s="2"/>
      <c r="V36" s="2"/>
      <c r="W36" s="2"/>
      <c r="X36" s="2"/>
      <c r="Y36" s="2"/>
      <c r="Z36" s="2"/>
    </row>
    <row r="37" ht="18.0" customHeight="1">
      <c r="A37" s="27"/>
      <c r="B37" s="28"/>
      <c r="C37" s="28"/>
      <c r="D37" s="83"/>
      <c r="E37" s="28"/>
      <c r="F37" s="28"/>
      <c r="G37" s="28"/>
      <c r="H37" s="28"/>
      <c r="I37" s="28"/>
      <c r="J37" s="28"/>
      <c r="K37" s="28"/>
      <c r="L37" s="28"/>
      <c r="M37" s="28"/>
      <c r="N37" s="27"/>
      <c r="O37" s="27"/>
      <c r="P37" s="2"/>
      <c r="Q37" s="2"/>
      <c r="R37" s="2"/>
      <c r="S37" s="2"/>
      <c r="T37" s="2"/>
      <c r="U37" s="2"/>
      <c r="V37" s="2"/>
      <c r="W37" s="2"/>
      <c r="X37" s="2"/>
      <c r="Y37" s="2"/>
      <c r="Z37" s="2"/>
    </row>
    <row r="38" ht="18.0" customHeight="1">
      <c r="A38" s="27"/>
      <c r="B38" s="28"/>
      <c r="C38" s="28"/>
      <c r="D38" s="83"/>
      <c r="E38" s="28"/>
      <c r="F38" s="28"/>
      <c r="G38" s="28"/>
      <c r="H38" s="28"/>
      <c r="I38" s="28"/>
      <c r="J38" s="28"/>
      <c r="K38" s="28"/>
      <c r="L38" s="28"/>
      <c r="M38" s="28"/>
      <c r="N38" s="27"/>
      <c r="O38" s="27"/>
      <c r="P38" s="2"/>
      <c r="Q38" s="2"/>
      <c r="R38" s="2"/>
      <c r="S38" s="2"/>
      <c r="T38" s="2"/>
      <c r="U38" s="2"/>
      <c r="V38" s="2"/>
      <c r="W38" s="2"/>
      <c r="X38" s="2"/>
      <c r="Y38" s="2"/>
      <c r="Z38" s="2"/>
    </row>
    <row r="39" ht="18.0" customHeight="1">
      <c r="A39" s="27"/>
      <c r="B39" s="28"/>
      <c r="C39" s="28"/>
      <c r="D39" s="28"/>
      <c r="E39" s="28"/>
      <c r="F39" s="28"/>
      <c r="G39" s="28"/>
      <c r="H39" s="28"/>
      <c r="I39" s="28"/>
      <c r="J39" s="28"/>
      <c r="K39" s="28"/>
      <c r="L39" s="28"/>
      <c r="M39" s="28"/>
      <c r="N39" s="27"/>
      <c r="O39" s="27"/>
      <c r="P39" s="2"/>
      <c r="Q39" s="2"/>
      <c r="R39" s="2"/>
      <c r="S39" s="2"/>
      <c r="T39" s="2"/>
      <c r="U39" s="2"/>
      <c r="V39" s="2"/>
      <c r="W39" s="2"/>
      <c r="X39" s="2"/>
      <c r="Y39" s="2"/>
      <c r="Z39" s="2"/>
    </row>
    <row r="40" ht="18.0" customHeight="1">
      <c r="A40" s="27"/>
      <c r="B40" s="28"/>
      <c r="C40" s="28"/>
      <c r="D40" s="28"/>
      <c r="E40" s="28"/>
      <c r="F40" s="28"/>
      <c r="G40" s="28"/>
      <c r="H40" s="28"/>
      <c r="I40" s="28"/>
      <c r="J40" s="28"/>
      <c r="K40" s="28"/>
      <c r="L40" s="28"/>
      <c r="M40" s="28"/>
      <c r="N40" s="27"/>
      <c r="O40" s="27"/>
      <c r="P40" s="2"/>
      <c r="Q40" s="2"/>
      <c r="R40" s="2"/>
      <c r="S40" s="2"/>
      <c r="T40" s="2"/>
      <c r="U40" s="2"/>
      <c r="V40" s="2"/>
      <c r="W40" s="2"/>
      <c r="X40" s="2"/>
      <c r="Y40" s="2"/>
      <c r="Z40" s="2"/>
    </row>
    <row r="41" ht="18.0" customHeight="1">
      <c r="A41" s="27"/>
      <c r="B41" s="28"/>
      <c r="C41" s="28"/>
      <c r="D41" s="28"/>
      <c r="E41" s="28"/>
      <c r="F41" s="28"/>
      <c r="G41" s="28"/>
      <c r="H41" s="28"/>
      <c r="I41" s="28"/>
      <c r="J41" s="28"/>
      <c r="K41" s="28"/>
      <c r="L41" s="28"/>
      <c r="M41" s="28"/>
      <c r="N41" s="27"/>
      <c r="O41" s="27"/>
      <c r="P41" s="2"/>
      <c r="Q41" s="2"/>
      <c r="R41" s="2"/>
      <c r="S41" s="2"/>
      <c r="T41" s="2"/>
      <c r="U41" s="2"/>
      <c r="V41" s="2"/>
      <c r="W41" s="2"/>
      <c r="X41" s="2"/>
      <c r="Y41" s="2"/>
      <c r="Z41" s="2"/>
    </row>
    <row r="42" ht="18.0" customHeight="1">
      <c r="A42" s="27"/>
      <c r="B42" s="28"/>
      <c r="C42" s="28"/>
      <c r="D42" s="28"/>
      <c r="E42" s="28"/>
      <c r="F42" s="28"/>
      <c r="G42" s="28"/>
      <c r="H42" s="28"/>
      <c r="I42" s="28"/>
      <c r="J42" s="28"/>
      <c r="K42" s="28"/>
      <c r="L42" s="28"/>
      <c r="M42" s="28"/>
      <c r="N42" s="27"/>
      <c r="O42" s="27"/>
      <c r="P42" s="2"/>
      <c r="Q42" s="2"/>
      <c r="R42" s="2"/>
      <c r="S42" s="2"/>
      <c r="T42" s="2"/>
      <c r="U42" s="2"/>
      <c r="V42" s="2"/>
      <c r="W42" s="2"/>
      <c r="X42" s="2"/>
      <c r="Y42" s="2"/>
      <c r="Z42" s="2"/>
    </row>
    <row r="43" ht="18.0" customHeight="1">
      <c r="A43" s="27"/>
      <c r="B43" s="28"/>
      <c r="C43" s="28"/>
      <c r="D43" s="28"/>
      <c r="E43" s="28"/>
      <c r="F43" s="28"/>
      <c r="G43" s="28"/>
      <c r="H43" s="28"/>
      <c r="I43" s="28"/>
      <c r="J43" s="28"/>
      <c r="K43" s="28"/>
      <c r="L43" s="28"/>
      <c r="M43" s="28"/>
      <c r="N43" s="27"/>
      <c r="O43" s="27"/>
      <c r="P43" s="2"/>
      <c r="Q43" s="2"/>
      <c r="R43" s="2"/>
      <c r="S43" s="2"/>
      <c r="T43" s="2"/>
      <c r="U43" s="2"/>
      <c r="V43" s="2"/>
      <c r="W43" s="2"/>
      <c r="X43" s="2"/>
      <c r="Y43" s="2"/>
      <c r="Z43" s="2"/>
    </row>
    <row r="44" ht="15.75" customHeight="1">
      <c r="A44" s="27"/>
      <c r="B44" s="28"/>
      <c r="C44" s="28"/>
      <c r="D44" s="28"/>
      <c r="E44" s="28"/>
      <c r="F44" s="28"/>
      <c r="G44" s="28"/>
      <c r="H44" s="28"/>
      <c r="I44" s="28"/>
      <c r="J44" s="28"/>
      <c r="K44" s="28"/>
      <c r="L44" s="28"/>
      <c r="M44" s="28"/>
      <c r="N44" s="27"/>
      <c r="O44" s="27"/>
      <c r="P44" s="2"/>
      <c r="Q44" s="2"/>
      <c r="R44" s="2"/>
      <c r="S44" s="2"/>
      <c r="T44" s="2"/>
      <c r="U44" s="2"/>
      <c r="V44" s="2"/>
      <c r="W44" s="2"/>
      <c r="X44" s="2"/>
      <c r="Y44" s="2"/>
      <c r="Z44" s="2"/>
    </row>
    <row r="45" ht="15.75" customHeight="1">
      <c r="A45" s="27"/>
      <c r="B45" s="28"/>
      <c r="C45" s="28"/>
      <c r="D45" s="28"/>
      <c r="E45" s="28"/>
      <c r="F45" s="28"/>
      <c r="G45" s="28"/>
      <c r="H45" s="28"/>
      <c r="I45" s="28"/>
      <c r="J45" s="28"/>
      <c r="K45" s="28"/>
      <c r="L45" s="28"/>
      <c r="M45" s="28"/>
      <c r="N45" s="27"/>
      <c r="O45" s="27"/>
      <c r="P45" s="2"/>
      <c r="Q45" s="2"/>
      <c r="R45" s="2"/>
      <c r="S45" s="2"/>
      <c r="T45" s="2"/>
      <c r="U45" s="2"/>
      <c r="V45" s="2"/>
      <c r="W45" s="2"/>
      <c r="X45" s="2"/>
      <c r="Y45" s="2"/>
      <c r="Z45" s="2"/>
    </row>
    <row r="46" ht="15.75" customHeight="1">
      <c r="A46" s="27"/>
      <c r="B46" s="28"/>
      <c r="C46" s="28"/>
      <c r="D46" s="28"/>
      <c r="E46" s="28"/>
      <c r="F46" s="28"/>
      <c r="G46" s="28"/>
      <c r="H46" s="28"/>
      <c r="I46" s="28"/>
      <c r="J46" s="28"/>
      <c r="K46" s="28"/>
      <c r="L46" s="28"/>
      <c r="M46" s="28"/>
      <c r="N46" s="27"/>
      <c r="O46" s="27"/>
      <c r="P46" s="2"/>
      <c r="Q46" s="2"/>
      <c r="R46" s="2"/>
      <c r="S46" s="2"/>
      <c r="T46" s="2"/>
      <c r="U46" s="2"/>
      <c r="V46" s="2"/>
      <c r="W46" s="2"/>
      <c r="X46" s="2"/>
      <c r="Y46" s="2"/>
      <c r="Z46" s="2"/>
    </row>
    <row r="47" ht="15.75" customHeight="1">
      <c r="A47" s="27"/>
      <c r="B47" s="27"/>
      <c r="C47" s="27"/>
      <c r="D47" s="27"/>
      <c r="E47" s="27"/>
      <c r="F47" s="27"/>
      <c r="G47" s="27"/>
      <c r="H47" s="27"/>
      <c r="I47" s="27"/>
      <c r="J47" s="27"/>
      <c r="K47" s="27"/>
      <c r="L47" s="27"/>
      <c r="M47" s="27"/>
      <c r="N47" s="27"/>
      <c r="O47" s="27"/>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C15:D15"/>
    <mergeCell ref="C16:D16"/>
    <mergeCell ref="C17:D17"/>
    <mergeCell ref="C18:D18"/>
    <mergeCell ref="C5:D5"/>
    <mergeCell ref="C6:D6"/>
    <mergeCell ref="C10:D10"/>
    <mergeCell ref="C11:D11"/>
    <mergeCell ref="C12:D12"/>
    <mergeCell ref="C13:D13"/>
    <mergeCell ref="C14:D14"/>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outlinePr summaryBelow="0" summaryRight="0"/>
    <pageSetUpPr/>
  </sheetPr>
  <sheetViews>
    <sheetView showGridLines="0" workbookViewId="0"/>
  </sheetViews>
  <sheetFormatPr customHeight="1" defaultColWidth="14.43" defaultRowHeight="15.0"/>
  <cols>
    <col customWidth="1" min="1" max="1" width="3.14"/>
    <col customWidth="1" min="2" max="2" width="2.71"/>
    <col customWidth="1" min="3" max="3" width="16.29"/>
    <col customWidth="1" min="4" max="4" width="16.14"/>
    <col customWidth="1" min="5" max="6" width="13.29"/>
    <col customWidth="1" min="7" max="7" width="15.57"/>
    <col customWidth="1" min="8" max="8" width="5.0"/>
    <col customWidth="1" min="9" max="9" width="9.86"/>
    <col customWidth="1" min="10" max="10" width="28.43"/>
    <col customWidth="1" min="11" max="11" width="13.57"/>
    <col customWidth="1" min="12" max="13" width="11.29"/>
    <col customWidth="1" min="15" max="22" width="11.29"/>
    <col customWidth="1" min="23" max="36" width="17.29"/>
  </cols>
  <sheetData>
    <row r="1" ht="15.75" customHeight="1">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
      <c r="AD1" s="2"/>
      <c r="AE1" s="2"/>
      <c r="AF1" s="2"/>
      <c r="AG1" s="2"/>
      <c r="AH1" s="2"/>
      <c r="AI1" s="2"/>
      <c r="AJ1" s="2"/>
    </row>
    <row r="2">
      <c r="A2" s="84"/>
      <c r="B2" s="85"/>
      <c r="C2" s="86"/>
      <c r="D2" s="86"/>
      <c r="E2" s="86"/>
      <c r="F2" s="86"/>
      <c r="G2" s="86"/>
      <c r="H2" s="86"/>
      <c r="I2" s="86"/>
      <c r="J2" s="87"/>
      <c r="K2" s="87"/>
      <c r="L2" s="87"/>
      <c r="M2" s="87"/>
      <c r="O2" s="87"/>
      <c r="P2" s="88"/>
      <c r="Q2" s="88"/>
      <c r="R2" s="88"/>
      <c r="S2" s="88"/>
      <c r="T2" s="88"/>
      <c r="U2" s="88"/>
      <c r="V2" s="88"/>
      <c r="W2" s="88"/>
      <c r="X2" s="88"/>
      <c r="Y2" s="88"/>
      <c r="Z2" s="88"/>
      <c r="AA2" s="88"/>
      <c r="AB2" s="84"/>
      <c r="AC2" s="2"/>
      <c r="AD2" s="2"/>
      <c r="AE2" s="2"/>
      <c r="AF2" s="2"/>
      <c r="AG2" s="2"/>
      <c r="AH2" s="2"/>
      <c r="AI2" s="2"/>
      <c r="AJ2" s="2"/>
    </row>
    <row r="3" ht="15.75" customHeight="1">
      <c r="A3" s="84"/>
      <c r="B3" s="85"/>
      <c r="C3" s="89" t="s">
        <v>80</v>
      </c>
      <c r="D3" s="86"/>
      <c r="E3" s="86"/>
      <c r="F3" s="86"/>
      <c r="G3" s="86"/>
      <c r="H3" s="86"/>
      <c r="I3" s="90" t="s">
        <v>81</v>
      </c>
      <c r="K3" s="87"/>
      <c r="L3" s="87"/>
      <c r="M3" s="87"/>
      <c r="O3" s="87"/>
      <c r="P3" s="88"/>
      <c r="Q3" s="88"/>
      <c r="R3" s="88"/>
      <c r="S3" s="88"/>
      <c r="T3" s="88"/>
      <c r="U3" s="88"/>
      <c r="V3" s="88"/>
      <c r="W3" s="88"/>
      <c r="X3" s="88"/>
      <c r="Y3" s="88"/>
      <c r="Z3" s="88"/>
      <c r="AA3" s="88"/>
      <c r="AB3" s="84"/>
      <c r="AC3" s="2"/>
      <c r="AD3" s="2"/>
      <c r="AE3" s="2"/>
      <c r="AF3" s="2"/>
      <c r="AG3" s="2"/>
      <c r="AH3" s="2"/>
      <c r="AI3" s="2"/>
      <c r="AJ3" s="2"/>
    </row>
    <row r="4" ht="12.75" customHeight="1">
      <c r="A4" s="91"/>
      <c r="B4" s="38"/>
      <c r="C4" s="92"/>
      <c r="D4" s="86"/>
      <c r="E4" s="86"/>
      <c r="F4" s="86"/>
      <c r="G4" s="86"/>
      <c r="H4" s="86"/>
      <c r="I4" s="86"/>
      <c r="J4" s="86"/>
      <c r="K4" s="86"/>
      <c r="L4" s="86"/>
      <c r="M4" s="86"/>
      <c r="O4" s="86"/>
      <c r="P4" s="93"/>
      <c r="Q4" s="93"/>
      <c r="R4" s="93"/>
      <c r="S4" s="93"/>
      <c r="T4" s="93"/>
      <c r="U4" s="93"/>
      <c r="V4" s="93"/>
      <c r="W4" s="93"/>
      <c r="X4" s="93"/>
      <c r="Y4" s="93"/>
      <c r="Z4" s="93"/>
      <c r="AA4" s="93"/>
      <c r="AB4" s="91"/>
      <c r="AC4" s="2"/>
      <c r="AD4" s="2"/>
      <c r="AE4" s="2"/>
      <c r="AF4" s="2"/>
      <c r="AG4" s="2"/>
      <c r="AH4" s="2"/>
      <c r="AI4" s="2"/>
      <c r="AJ4" s="2"/>
    </row>
    <row r="5">
      <c r="A5" s="91"/>
      <c r="B5" s="38"/>
      <c r="C5" s="94" t="s">
        <v>82</v>
      </c>
      <c r="D5" s="94">
        <f>+M16</f>
        <v>5780000</v>
      </c>
      <c r="E5" s="86"/>
      <c r="F5" s="95" t="s">
        <v>83</v>
      </c>
      <c r="G5" s="45"/>
      <c r="H5" s="86"/>
      <c r="I5" s="46" t="s">
        <v>84</v>
      </c>
      <c r="J5" s="46" t="s">
        <v>85</v>
      </c>
      <c r="K5" s="46" t="s">
        <v>86</v>
      </c>
      <c r="L5" s="46" t="s">
        <v>87</v>
      </c>
      <c r="M5" s="46" t="s">
        <v>88</v>
      </c>
      <c r="N5" s="46" t="s">
        <v>89</v>
      </c>
      <c r="P5" s="93"/>
      <c r="Q5" s="93"/>
      <c r="R5" s="93"/>
      <c r="S5" s="93"/>
      <c r="T5" s="93"/>
      <c r="U5" s="93"/>
      <c r="V5" s="93"/>
      <c r="W5" s="93"/>
      <c r="X5" s="93"/>
      <c r="Y5" s="93"/>
      <c r="Z5" s="96"/>
      <c r="AA5" s="93"/>
      <c r="AB5" s="91"/>
      <c r="AC5" s="2"/>
      <c r="AD5" s="2"/>
      <c r="AE5" s="2"/>
      <c r="AF5" s="2"/>
      <c r="AG5" s="2"/>
      <c r="AH5" s="2"/>
      <c r="AI5" s="2"/>
      <c r="AJ5" s="2"/>
    </row>
    <row r="6" ht="12.75" customHeight="1">
      <c r="A6" s="91"/>
      <c r="B6" s="38"/>
      <c r="C6" s="94" t="s">
        <v>90</v>
      </c>
      <c r="D6" s="94">
        <f>N16</f>
        <v>912000</v>
      </c>
      <c r="E6" s="86"/>
      <c r="F6" s="97" t="s">
        <v>91</v>
      </c>
      <c r="G6" s="97">
        <f>(COUNT(C10:C14)*(COUNT(C10:C14)+1))/2</f>
        <v>15</v>
      </c>
      <c r="H6" s="86"/>
      <c r="I6" s="98">
        <v>10.0</v>
      </c>
      <c r="J6" s="99" t="s">
        <v>92</v>
      </c>
      <c r="K6" s="100">
        <v>150000.0</v>
      </c>
      <c r="L6" s="100">
        <v>30000.0</v>
      </c>
      <c r="M6" s="69">
        <f t="shared" ref="M6:M15" si="1">K6*I6</f>
        <v>1500000</v>
      </c>
      <c r="N6" s="69">
        <f t="shared" ref="N6:N15" si="2">L6*I6</f>
        <v>300000</v>
      </c>
      <c r="O6" s="101" t="s">
        <v>93</v>
      </c>
      <c r="P6" s="93"/>
      <c r="Q6" s="93"/>
      <c r="R6" s="93"/>
      <c r="S6" s="93"/>
      <c r="T6" s="93"/>
      <c r="U6" s="93"/>
      <c r="V6" s="93"/>
      <c r="W6" s="93"/>
      <c r="X6" s="93"/>
      <c r="Y6" s="93"/>
      <c r="Z6" s="96"/>
      <c r="AA6" s="93"/>
      <c r="AB6" s="91"/>
      <c r="AC6" s="2"/>
      <c r="AD6" s="2"/>
      <c r="AE6" s="2"/>
      <c r="AF6" s="2"/>
      <c r="AG6" s="2"/>
      <c r="AH6" s="2"/>
      <c r="AI6" s="2"/>
      <c r="AJ6" s="2"/>
    </row>
    <row r="7" ht="12.75" customHeight="1">
      <c r="A7" s="91"/>
      <c r="B7" s="38"/>
      <c r="C7" s="94" t="s">
        <v>94</v>
      </c>
      <c r="D7" s="94">
        <f>+D5-D6</f>
        <v>4868000</v>
      </c>
      <c r="E7" s="86"/>
      <c r="F7" s="38"/>
      <c r="G7" s="38"/>
      <c r="H7" s="86"/>
      <c r="I7" s="98">
        <v>12.0</v>
      </c>
      <c r="J7" s="99" t="s">
        <v>95</v>
      </c>
      <c r="K7" s="100">
        <v>140000.0</v>
      </c>
      <c r="L7" s="100">
        <v>20000.0</v>
      </c>
      <c r="M7" s="69">
        <f t="shared" si="1"/>
        <v>1680000</v>
      </c>
      <c r="N7" s="69">
        <f t="shared" si="2"/>
        <v>240000</v>
      </c>
      <c r="O7" s="101" t="s">
        <v>96</v>
      </c>
      <c r="P7" s="93"/>
      <c r="Q7" s="93"/>
      <c r="R7" s="93"/>
      <c r="S7" s="93"/>
      <c r="T7" s="93"/>
      <c r="U7" s="93"/>
      <c r="V7" s="93"/>
      <c r="W7" s="93"/>
      <c r="X7" s="93"/>
      <c r="Y7" s="93"/>
      <c r="Z7" s="96" t="s">
        <v>97</v>
      </c>
      <c r="AA7" s="93"/>
      <c r="AB7" s="91"/>
      <c r="AC7" s="2"/>
      <c r="AD7" s="2"/>
      <c r="AE7" s="2"/>
      <c r="AF7" s="2"/>
      <c r="AG7" s="2"/>
      <c r="AH7" s="2"/>
      <c r="AI7" s="2"/>
      <c r="AJ7" s="2"/>
    </row>
    <row r="8" ht="12.75" customHeight="1">
      <c r="A8" s="91"/>
      <c r="B8" s="38"/>
      <c r="C8" s="86"/>
      <c r="D8" s="86"/>
      <c r="E8" s="38"/>
      <c r="F8" s="38"/>
      <c r="G8" s="38"/>
      <c r="H8" s="38"/>
      <c r="I8" s="98">
        <v>2.0</v>
      </c>
      <c r="J8" s="102" t="s">
        <v>98</v>
      </c>
      <c r="K8" s="100">
        <v>450000.0</v>
      </c>
      <c r="L8" s="100">
        <v>50000.0</v>
      </c>
      <c r="M8" s="69">
        <f t="shared" si="1"/>
        <v>900000</v>
      </c>
      <c r="N8" s="69">
        <f t="shared" si="2"/>
        <v>100000</v>
      </c>
      <c r="O8" s="103" t="s">
        <v>99</v>
      </c>
      <c r="P8" s="93"/>
      <c r="Q8" s="93"/>
      <c r="R8" s="93"/>
      <c r="S8" s="93"/>
      <c r="T8" s="93"/>
      <c r="U8" s="93"/>
      <c r="V8" s="93"/>
      <c r="W8" s="93"/>
      <c r="X8" s="93"/>
      <c r="Y8" s="93"/>
      <c r="Z8" s="96" t="s">
        <v>100</v>
      </c>
      <c r="AA8" s="93"/>
      <c r="AB8" s="91"/>
      <c r="AC8" s="2"/>
      <c r="AD8" s="2"/>
      <c r="AE8" s="2"/>
      <c r="AF8" s="2"/>
      <c r="AG8" s="2"/>
      <c r="AH8" s="2"/>
      <c r="AI8" s="2"/>
      <c r="AJ8" s="2"/>
    </row>
    <row r="9" ht="25.5" customHeight="1">
      <c r="A9" s="91"/>
      <c r="B9" s="38"/>
      <c r="C9" s="46" t="s">
        <v>101</v>
      </c>
      <c r="D9" s="46" t="s">
        <v>102</v>
      </c>
      <c r="E9" s="104" t="s">
        <v>100</v>
      </c>
      <c r="F9" s="46" t="s">
        <v>103</v>
      </c>
      <c r="G9" s="46" t="s">
        <v>104</v>
      </c>
      <c r="H9" s="105"/>
      <c r="I9" s="98">
        <v>1.0</v>
      </c>
      <c r="J9" s="102" t="s">
        <v>105</v>
      </c>
      <c r="K9" s="100">
        <v>400000.0</v>
      </c>
      <c r="L9" s="100">
        <v>80000.0</v>
      </c>
      <c r="M9" s="69">
        <f t="shared" si="1"/>
        <v>400000</v>
      </c>
      <c r="N9" s="69">
        <f t="shared" si="2"/>
        <v>80000</v>
      </c>
      <c r="O9" s="101" t="s">
        <v>106</v>
      </c>
      <c r="P9" s="93"/>
      <c r="Q9" s="93"/>
      <c r="R9" s="93"/>
      <c r="S9" s="93"/>
      <c r="T9" s="93"/>
      <c r="U9" s="93"/>
      <c r="V9" s="93"/>
      <c r="W9" s="93"/>
      <c r="X9" s="93"/>
      <c r="Y9" s="93"/>
      <c r="Z9" s="96" t="s">
        <v>107</v>
      </c>
      <c r="AA9" s="93"/>
      <c r="AB9" s="91"/>
      <c r="AC9" s="2"/>
      <c r="AD9" s="2"/>
      <c r="AE9" s="2"/>
      <c r="AF9" s="2"/>
      <c r="AG9" s="2"/>
      <c r="AH9" s="2"/>
      <c r="AI9" s="2"/>
      <c r="AJ9" s="2"/>
    </row>
    <row r="10" ht="13.5" customHeight="1">
      <c r="A10" s="27"/>
      <c r="B10" s="28"/>
      <c r="C10" s="106">
        <v>1.0</v>
      </c>
      <c r="D10" s="94">
        <f>$D$7</f>
        <v>4868000</v>
      </c>
      <c r="E10" s="107">
        <f>IF($E$9="Definir sistema",0,IF($E$9="Lineal",$C$10/5,IF($E$9="Decreciente",C14/$G$6,C10/$G$6)))</f>
        <v>0.3333333333</v>
      </c>
      <c r="F10" s="94">
        <f t="shared" ref="F10:F14" si="3">D10*E10</f>
        <v>1622666.667</v>
      </c>
      <c r="G10" s="94">
        <f>D5-F10</f>
        <v>4157333.333</v>
      </c>
      <c r="H10" s="28"/>
      <c r="I10" s="108">
        <v>4.0</v>
      </c>
      <c r="J10" s="108" t="s">
        <v>108</v>
      </c>
      <c r="K10" s="100">
        <v>200000.0</v>
      </c>
      <c r="L10" s="100">
        <v>30000.0</v>
      </c>
      <c r="M10" s="69">
        <f t="shared" si="1"/>
        <v>800000</v>
      </c>
      <c r="N10" s="69">
        <f t="shared" si="2"/>
        <v>120000</v>
      </c>
      <c r="O10" s="103" t="s">
        <v>109</v>
      </c>
      <c r="P10" s="91"/>
      <c r="Q10" s="91"/>
      <c r="R10" s="91"/>
      <c r="S10" s="91"/>
      <c r="T10" s="91"/>
      <c r="U10" s="91"/>
      <c r="V10" s="91"/>
      <c r="W10" s="27"/>
      <c r="X10" s="27"/>
      <c r="Y10" s="27"/>
      <c r="Z10" s="109" t="s">
        <v>110</v>
      </c>
      <c r="AA10" s="27"/>
      <c r="AB10" s="27"/>
      <c r="AC10" s="2"/>
      <c r="AD10" s="2"/>
      <c r="AE10" s="2"/>
      <c r="AF10" s="2"/>
      <c r="AG10" s="2"/>
      <c r="AH10" s="2"/>
      <c r="AI10" s="2"/>
      <c r="AJ10" s="2"/>
    </row>
    <row r="11" ht="13.5" customHeight="1">
      <c r="A11" s="27"/>
      <c r="B11" s="28"/>
      <c r="C11" s="106">
        <f t="shared" ref="C11:C14" si="4">C10+1</f>
        <v>2</v>
      </c>
      <c r="D11" s="94">
        <f t="shared" ref="D11:D14" si="5">+D10</f>
        <v>4868000</v>
      </c>
      <c r="E11" s="107">
        <f>IF($E$9="Definir sistema",0,IF($E$9="Lineal",$C$10/5,IF($E$9="Decreciente",C13/$G$6,C11/$G$6)))</f>
        <v>0.2666666667</v>
      </c>
      <c r="F11" s="94">
        <f t="shared" si="3"/>
        <v>1298133.333</v>
      </c>
      <c r="G11" s="94">
        <f>D5-F10-F11</f>
        <v>2859200</v>
      </c>
      <c r="H11" s="28"/>
      <c r="I11" s="108">
        <v>2.0</v>
      </c>
      <c r="J11" s="108" t="s">
        <v>111</v>
      </c>
      <c r="K11" s="100">
        <v>250000.0</v>
      </c>
      <c r="L11" s="100">
        <v>36000.0</v>
      </c>
      <c r="M11" s="69">
        <f t="shared" si="1"/>
        <v>500000</v>
      </c>
      <c r="N11" s="69">
        <f t="shared" si="2"/>
        <v>72000</v>
      </c>
      <c r="O11" s="101" t="s">
        <v>112</v>
      </c>
      <c r="P11" s="91"/>
      <c r="Q11" s="91"/>
      <c r="R11" s="91"/>
      <c r="S11" s="91"/>
      <c r="T11" s="91"/>
      <c r="U11" s="91"/>
      <c r="V11" s="91"/>
      <c r="W11" s="27"/>
      <c r="X11" s="27"/>
      <c r="Y11" s="27"/>
      <c r="Z11" s="109"/>
      <c r="AA11" s="27"/>
      <c r="AB11" s="27"/>
      <c r="AC11" s="2"/>
      <c r="AD11" s="2"/>
      <c r="AE11" s="2"/>
      <c r="AF11" s="2"/>
      <c r="AG11" s="2"/>
      <c r="AH11" s="2"/>
      <c r="AI11" s="2"/>
      <c r="AJ11" s="2"/>
    </row>
    <row r="12" ht="13.5" customHeight="1">
      <c r="A12" s="27"/>
      <c r="B12" s="28"/>
      <c r="C12" s="106">
        <f t="shared" si="4"/>
        <v>3</v>
      </c>
      <c r="D12" s="94">
        <f t="shared" si="5"/>
        <v>4868000</v>
      </c>
      <c r="E12" s="107">
        <f>IF($E$9="Definir sistema",0,IF($E$9="Lineal",$C$10/5,IF($E$9="Decreciente",C12/$G$6,C12/$G$6)))</f>
        <v>0.2</v>
      </c>
      <c r="F12" s="94">
        <f t="shared" si="3"/>
        <v>973600</v>
      </c>
      <c r="G12" s="94">
        <f>D5-F10-F11-F12</f>
        <v>1885600</v>
      </c>
      <c r="H12" s="28"/>
      <c r="I12" s="110"/>
      <c r="J12" s="110"/>
      <c r="K12" s="64"/>
      <c r="L12" s="64"/>
      <c r="M12" s="69">
        <f t="shared" si="1"/>
        <v>0</v>
      </c>
      <c r="N12" s="69">
        <f t="shared" si="2"/>
        <v>0</v>
      </c>
      <c r="P12" s="91"/>
      <c r="Q12" s="91"/>
      <c r="R12" s="91"/>
      <c r="S12" s="91"/>
      <c r="T12" s="91"/>
      <c r="U12" s="91"/>
      <c r="V12" s="91"/>
      <c r="W12" s="27"/>
      <c r="X12" s="27"/>
      <c r="Y12" s="27"/>
      <c r="Z12" s="27"/>
      <c r="AA12" s="27"/>
      <c r="AB12" s="27"/>
      <c r="AC12" s="2"/>
      <c r="AD12" s="2"/>
      <c r="AE12" s="2"/>
      <c r="AF12" s="2"/>
      <c r="AG12" s="2"/>
      <c r="AH12" s="2"/>
      <c r="AI12" s="2"/>
      <c r="AJ12" s="2"/>
    </row>
    <row r="13" ht="13.5" customHeight="1">
      <c r="A13" s="27"/>
      <c r="B13" s="28"/>
      <c r="C13" s="106">
        <f t="shared" si="4"/>
        <v>4</v>
      </c>
      <c r="D13" s="94">
        <f t="shared" si="5"/>
        <v>4868000</v>
      </c>
      <c r="E13" s="107">
        <f>IF($E$9="Definir sistema",0,IF($E$9="Lineal",$C$10/5,IF($E$9="Decreciente",C11/$G$6,C13/$G$6)))</f>
        <v>0.1333333333</v>
      </c>
      <c r="F13" s="94">
        <f t="shared" si="3"/>
        <v>649066.6667</v>
      </c>
      <c r="G13" s="94">
        <f>D5-F10-F11-F12-F13</f>
        <v>1236533.333</v>
      </c>
      <c r="H13" s="28"/>
      <c r="I13" s="110"/>
      <c r="J13" s="110"/>
      <c r="K13" s="64"/>
      <c r="L13" s="64"/>
      <c r="M13" s="69">
        <f t="shared" si="1"/>
        <v>0</v>
      </c>
      <c r="N13" s="69">
        <f t="shared" si="2"/>
        <v>0</v>
      </c>
      <c r="P13" s="91"/>
      <c r="Q13" s="91"/>
      <c r="R13" s="91"/>
      <c r="S13" s="91"/>
      <c r="T13" s="91"/>
      <c r="U13" s="91"/>
      <c r="V13" s="91"/>
      <c r="W13" s="27"/>
      <c r="X13" s="27"/>
      <c r="Y13" s="27"/>
      <c r="Z13" s="109"/>
      <c r="AA13" s="27"/>
      <c r="AB13" s="27"/>
      <c r="AC13" s="2"/>
      <c r="AD13" s="2"/>
      <c r="AE13" s="2"/>
      <c r="AF13" s="2"/>
      <c r="AG13" s="2"/>
      <c r="AH13" s="2"/>
      <c r="AI13" s="2"/>
      <c r="AJ13" s="2"/>
    </row>
    <row r="14" ht="13.5" customHeight="1">
      <c r="A14" s="27"/>
      <c r="B14" s="28"/>
      <c r="C14" s="106">
        <f t="shared" si="4"/>
        <v>5</v>
      </c>
      <c r="D14" s="94">
        <f t="shared" si="5"/>
        <v>4868000</v>
      </c>
      <c r="E14" s="107">
        <f>IF($E$9="Definir sistema",0,IF($E$9="Lineal",$C$10/5,IF($E$9="Decreciente",C10/$G$6,C14/$G$6)))</f>
        <v>0.06666666667</v>
      </c>
      <c r="F14" s="94">
        <f t="shared" si="3"/>
        <v>324533.3333</v>
      </c>
      <c r="G14" s="94">
        <f>D5-F10-F11-F12-F13-F14</f>
        <v>912000</v>
      </c>
      <c r="H14" s="28"/>
      <c r="I14" s="110"/>
      <c r="J14" s="110"/>
      <c r="K14" s="64"/>
      <c r="L14" s="64"/>
      <c r="M14" s="69">
        <f t="shared" si="1"/>
        <v>0</v>
      </c>
      <c r="N14" s="69">
        <f t="shared" si="2"/>
        <v>0</v>
      </c>
      <c r="P14" s="91"/>
      <c r="Q14" s="91"/>
      <c r="R14" s="91"/>
      <c r="S14" s="91"/>
      <c r="T14" s="91"/>
      <c r="U14" s="91"/>
      <c r="V14" s="91"/>
      <c r="W14" s="27"/>
      <c r="X14" s="27"/>
      <c r="Y14" s="27"/>
      <c r="Z14" s="109"/>
      <c r="AA14" s="27"/>
      <c r="AB14" s="27"/>
      <c r="AC14" s="2"/>
      <c r="AD14" s="2"/>
      <c r="AE14" s="2"/>
      <c r="AF14" s="2"/>
      <c r="AG14" s="2"/>
      <c r="AH14" s="2"/>
      <c r="AI14" s="2"/>
      <c r="AJ14" s="2"/>
    </row>
    <row r="15" ht="13.5" customHeight="1">
      <c r="A15" s="27"/>
      <c r="B15" s="28"/>
      <c r="C15" s="38"/>
      <c r="D15" s="111" t="s">
        <v>102</v>
      </c>
      <c r="E15" s="112">
        <f t="shared" ref="E15:F15" si="6">SUM(E10:E14)</f>
        <v>1</v>
      </c>
      <c r="F15" s="113">
        <f t="shared" si="6"/>
        <v>4868000</v>
      </c>
      <c r="G15" s="114">
        <f>+G14-D6</f>
        <v>0.0000000002328306437</v>
      </c>
      <c r="H15" s="28"/>
      <c r="I15" s="110"/>
      <c r="J15" s="110"/>
      <c r="K15" s="64"/>
      <c r="L15" s="64"/>
      <c r="M15" s="69">
        <f t="shared" si="1"/>
        <v>0</v>
      </c>
      <c r="N15" s="69">
        <f t="shared" si="2"/>
        <v>0</v>
      </c>
      <c r="P15" s="91"/>
      <c r="Q15" s="91"/>
      <c r="R15" s="91"/>
      <c r="S15" s="91"/>
      <c r="T15" s="91"/>
      <c r="U15" s="91"/>
      <c r="V15" s="91"/>
      <c r="W15" s="27"/>
      <c r="X15" s="27"/>
      <c r="Y15" s="27"/>
      <c r="Z15" s="109"/>
      <c r="AA15" s="27"/>
      <c r="AB15" s="27"/>
      <c r="AC15" s="2"/>
      <c r="AD15" s="2"/>
      <c r="AE15" s="2"/>
      <c r="AF15" s="2"/>
      <c r="AG15" s="2"/>
      <c r="AH15" s="2"/>
      <c r="AI15" s="2"/>
      <c r="AJ15" s="2"/>
    </row>
    <row r="16" ht="14.25" customHeight="1">
      <c r="A16" s="27"/>
      <c r="B16" s="28"/>
      <c r="C16" s="38"/>
      <c r="D16" s="38"/>
      <c r="E16" s="38"/>
      <c r="F16" s="38"/>
      <c r="G16" s="38"/>
      <c r="H16" s="38"/>
      <c r="I16" s="38"/>
      <c r="J16" s="86"/>
      <c r="K16" s="86"/>
      <c r="L16" s="86"/>
      <c r="M16" s="115">
        <f t="shared" ref="M16:N16" si="7">SUM(M6:M15)</f>
        <v>5780000</v>
      </c>
      <c r="N16" s="115">
        <f t="shared" si="7"/>
        <v>912000</v>
      </c>
      <c r="P16" s="91"/>
      <c r="Q16" s="91"/>
      <c r="R16" s="91"/>
      <c r="S16" s="91"/>
      <c r="T16" s="91"/>
      <c r="U16" s="91"/>
      <c r="V16" s="91"/>
      <c r="W16" s="27"/>
      <c r="X16" s="27"/>
      <c r="Y16" s="27"/>
      <c r="Z16" s="109"/>
      <c r="AA16" s="27"/>
      <c r="AB16" s="27"/>
      <c r="AC16" s="2"/>
      <c r="AD16" s="2"/>
      <c r="AE16" s="2"/>
      <c r="AF16" s="2"/>
      <c r="AG16" s="2"/>
      <c r="AH16" s="2"/>
      <c r="AI16" s="2"/>
      <c r="AJ16" s="2"/>
    </row>
    <row r="17" ht="14.25" customHeight="1">
      <c r="A17" s="27"/>
      <c r="B17" s="28"/>
      <c r="C17" s="38"/>
      <c r="D17" s="38"/>
      <c r="E17" s="38"/>
      <c r="F17" s="38"/>
      <c r="G17" s="38"/>
      <c r="H17" s="38"/>
      <c r="I17" s="38"/>
      <c r="J17" s="86"/>
      <c r="M17" s="86"/>
      <c r="O17" s="86"/>
      <c r="P17" s="91"/>
      <c r="Q17" s="91"/>
      <c r="R17" s="91"/>
      <c r="S17" s="91"/>
      <c r="T17" s="91"/>
      <c r="U17" s="91"/>
      <c r="V17" s="91"/>
      <c r="W17" s="27"/>
      <c r="X17" s="27"/>
      <c r="Y17" s="27"/>
      <c r="Z17" s="109"/>
      <c r="AA17" s="27"/>
      <c r="AB17" s="27"/>
      <c r="AC17" s="2"/>
      <c r="AD17" s="2"/>
      <c r="AE17" s="2"/>
      <c r="AF17" s="2"/>
      <c r="AG17" s="2"/>
      <c r="AH17" s="2"/>
      <c r="AI17" s="2"/>
      <c r="AJ17" s="2"/>
    </row>
    <row r="18" ht="14.25" customHeight="1">
      <c r="A18" s="27"/>
      <c r="B18" s="28"/>
      <c r="C18" s="38"/>
      <c r="D18" s="38"/>
      <c r="E18" s="38"/>
      <c r="F18" s="38"/>
      <c r="G18" s="38"/>
      <c r="H18" s="38"/>
      <c r="I18" s="38"/>
      <c r="J18" s="86"/>
      <c r="K18" s="86"/>
      <c r="L18" s="86"/>
      <c r="M18" s="86"/>
      <c r="O18" s="86"/>
      <c r="P18" s="91"/>
      <c r="Q18" s="91"/>
      <c r="R18" s="91"/>
      <c r="S18" s="91"/>
      <c r="T18" s="91"/>
      <c r="U18" s="91"/>
      <c r="V18" s="91"/>
      <c r="W18" s="27"/>
      <c r="X18" s="27"/>
      <c r="Y18" s="27"/>
      <c r="Z18" s="109"/>
      <c r="AA18" s="27"/>
      <c r="AB18" s="27"/>
      <c r="AC18" s="2"/>
      <c r="AD18" s="2"/>
      <c r="AE18" s="2"/>
      <c r="AF18" s="2"/>
      <c r="AG18" s="2"/>
      <c r="AH18" s="2"/>
      <c r="AI18" s="2"/>
      <c r="AJ18" s="2"/>
    </row>
    <row r="19" ht="14.25" customHeight="1">
      <c r="A19" s="27"/>
      <c r="B19" s="28"/>
      <c r="C19" s="38"/>
      <c r="D19" s="38"/>
      <c r="E19" s="38"/>
      <c r="F19" s="38"/>
      <c r="G19" s="38"/>
      <c r="H19" s="38"/>
      <c r="I19" s="38"/>
      <c r="J19" s="86"/>
      <c r="K19" s="86"/>
      <c r="L19" s="86"/>
      <c r="M19" s="86"/>
      <c r="O19" s="86"/>
      <c r="P19" s="91"/>
      <c r="Q19" s="91"/>
      <c r="R19" s="91"/>
      <c r="S19" s="91"/>
      <c r="T19" s="91"/>
      <c r="U19" s="91"/>
      <c r="V19" s="91"/>
      <c r="W19" s="27"/>
      <c r="X19" s="27"/>
      <c r="Y19" s="27"/>
      <c r="Z19" s="109"/>
      <c r="AA19" s="27"/>
      <c r="AB19" s="27"/>
      <c r="AC19" s="2"/>
      <c r="AD19" s="2"/>
      <c r="AE19" s="2"/>
      <c r="AF19" s="2"/>
      <c r="AG19" s="2"/>
      <c r="AH19" s="2"/>
      <c r="AI19" s="2"/>
      <c r="AJ19" s="2"/>
    </row>
    <row r="20" ht="14.25" customHeight="1">
      <c r="A20" s="27"/>
      <c r="B20" s="28"/>
      <c r="C20" s="38"/>
      <c r="D20" s="38"/>
      <c r="E20" s="38"/>
      <c r="F20" s="38"/>
      <c r="G20" s="38"/>
      <c r="H20" s="38"/>
      <c r="I20" s="38"/>
      <c r="J20" s="86"/>
      <c r="K20" s="86"/>
      <c r="L20" s="86"/>
      <c r="M20" s="86"/>
      <c r="O20" s="86"/>
      <c r="P20" s="91"/>
      <c r="Q20" s="91"/>
      <c r="R20" s="91"/>
      <c r="S20" s="91"/>
      <c r="T20" s="91"/>
      <c r="U20" s="91"/>
      <c r="V20" s="91"/>
      <c r="W20" s="27"/>
      <c r="X20" s="27"/>
      <c r="Y20" s="27"/>
      <c r="Z20" s="109"/>
      <c r="AA20" s="27"/>
      <c r="AB20" s="27"/>
      <c r="AC20" s="2"/>
      <c r="AD20" s="2"/>
      <c r="AE20" s="2"/>
      <c r="AF20" s="2"/>
      <c r="AG20" s="2"/>
      <c r="AH20" s="2"/>
      <c r="AI20" s="2"/>
      <c r="AJ20" s="2"/>
    </row>
    <row r="21" ht="14.25" customHeight="1">
      <c r="A21" s="27"/>
      <c r="B21" s="27"/>
      <c r="C21" s="91"/>
      <c r="D21" s="91"/>
      <c r="E21" s="91"/>
      <c r="F21" s="91"/>
      <c r="G21" s="91"/>
      <c r="H21" s="27"/>
      <c r="I21" s="27"/>
      <c r="J21" s="27"/>
      <c r="K21" s="27"/>
      <c r="L21" s="27"/>
      <c r="M21" s="27"/>
      <c r="N21" s="27"/>
      <c r="O21" s="27"/>
      <c r="P21" s="91"/>
      <c r="Q21" s="91"/>
      <c r="R21" s="91"/>
      <c r="S21" s="91"/>
      <c r="T21" s="91"/>
      <c r="U21" s="91"/>
      <c r="V21" s="91"/>
      <c r="W21" s="27"/>
      <c r="X21" s="27"/>
      <c r="Y21" s="27"/>
      <c r="Z21" s="27"/>
      <c r="AA21" s="27"/>
      <c r="AB21" s="27"/>
      <c r="AC21" s="2"/>
      <c r="AD21" s="2"/>
      <c r="AE21" s="2"/>
      <c r="AF21" s="2"/>
      <c r="AG21" s="2"/>
      <c r="AH21" s="2"/>
      <c r="AI21" s="2"/>
      <c r="AJ21" s="2"/>
    </row>
    <row r="22" ht="14.25" customHeight="1">
      <c r="A22" s="27"/>
      <c r="B22" s="116"/>
      <c r="C22" s="91"/>
      <c r="D22" s="91"/>
      <c r="E22" s="91"/>
      <c r="F22" s="91"/>
      <c r="G22" s="91"/>
      <c r="H22" s="27"/>
      <c r="I22" s="27"/>
      <c r="J22" s="27"/>
      <c r="K22" s="27"/>
      <c r="L22" s="27"/>
      <c r="M22" s="27"/>
      <c r="N22" s="27"/>
      <c r="O22" s="27"/>
      <c r="P22" s="91"/>
      <c r="Q22" s="91"/>
      <c r="R22" s="91"/>
      <c r="S22" s="91"/>
      <c r="T22" s="91"/>
      <c r="U22" s="91"/>
      <c r="V22" s="91"/>
      <c r="W22" s="27"/>
      <c r="X22" s="27"/>
      <c r="Y22" s="27"/>
      <c r="Z22" s="27"/>
      <c r="AA22" s="27"/>
      <c r="AB22" s="27"/>
      <c r="AC22" s="2"/>
      <c r="AD22" s="2"/>
      <c r="AE22" s="2"/>
      <c r="AF22" s="2"/>
      <c r="AG22" s="2"/>
      <c r="AH22" s="2"/>
      <c r="AI22" s="2"/>
      <c r="AJ22" s="2"/>
    </row>
    <row r="23" ht="14.25" customHeight="1">
      <c r="A23" s="27"/>
      <c r="B23" s="27"/>
      <c r="C23" s="91"/>
      <c r="D23" s="91"/>
      <c r="E23" s="91"/>
      <c r="F23" s="91"/>
      <c r="G23" s="91"/>
      <c r="H23" s="27"/>
      <c r="I23" s="27"/>
      <c r="J23" s="27"/>
      <c r="K23" s="27"/>
      <c r="L23" s="27"/>
      <c r="M23" s="27"/>
      <c r="N23" s="27"/>
      <c r="O23" s="27"/>
      <c r="P23" s="91"/>
      <c r="Q23" s="91"/>
      <c r="R23" s="91"/>
      <c r="S23" s="91"/>
      <c r="T23" s="91"/>
      <c r="U23" s="91"/>
      <c r="V23" s="91"/>
      <c r="W23" s="27"/>
      <c r="X23" s="27"/>
      <c r="Y23" s="27"/>
      <c r="Z23" s="27"/>
      <c r="AA23" s="27"/>
      <c r="AB23" s="27"/>
      <c r="AC23" s="2"/>
      <c r="AD23" s="2"/>
      <c r="AE23" s="2"/>
      <c r="AF23" s="2"/>
      <c r="AG23" s="2"/>
      <c r="AH23" s="2"/>
      <c r="AI23" s="2"/>
      <c r="AJ23" s="2"/>
    </row>
    <row r="24" ht="14.25" customHeight="1">
      <c r="A24" s="27"/>
      <c r="B24" s="27"/>
      <c r="C24" s="91"/>
      <c r="D24" s="91"/>
      <c r="E24" s="91"/>
      <c r="F24" s="91"/>
      <c r="G24" s="91"/>
      <c r="H24" s="27"/>
      <c r="I24" s="27"/>
      <c r="J24" s="27"/>
      <c r="K24" s="27"/>
      <c r="L24" s="27"/>
      <c r="M24" s="27"/>
      <c r="N24" s="27"/>
      <c r="O24" s="27"/>
      <c r="P24" s="91"/>
      <c r="Q24" s="91"/>
      <c r="R24" s="91"/>
      <c r="S24" s="91"/>
      <c r="T24" s="91"/>
      <c r="U24" s="91"/>
      <c r="V24" s="91"/>
      <c r="W24" s="27"/>
      <c r="X24" s="27"/>
      <c r="Y24" s="27"/>
      <c r="Z24" s="27"/>
      <c r="AA24" s="27"/>
      <c r="AB24" s="27"/>
      <c r="AC24" s="2"/>
      <c r="AD24" s="2"/>
      <c r="AE24" s="2"/>
      <c r="AF24" s="2"/>
      <c r="AG24" s="2"/>
      <c r="AH24" s="2"/>
      <c r="AI24" s="2"/>
      <c r="AJ24" s="2"/>
    </row>
    <row r="25" ht="15.75" customHeight="1">
      <c r="A25" s="27"/>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
      <c r="AD25" s="2"/>
      <c r="AE25" s="2"/>
      <c r="AF25" s="2"/>
      <c r="AG25" s="2"/>
      <c r="AH25" s="2"/>
      <c r="AI25" s="2"/>
      <c r="AJ25" s="2"/>
    </row>
    <row r="26" ht="15.75" customHeight="1">
      <c r="A26" s="2"/>
      <c r="B26" s="2"/>
      <c r="C26" s="2"/>
      <c r="D26" s="2"/>
      <c r="E26" s="2"/>
      <c r="F26" s="2"/>
      <c r="G26" s="2"/>
      <c r="H26" s="2"/>
      <c r="I26" s="2"/>
      <c r="J26" s="2"/>
      <c r="K26" s="2"/>
      <c r="L26" s="2"/>
      <c r="M26" s="2"/>
      <c r="O26" s="2"/>
      <c r="P26" s="2"/>
      <c r="Q26" s="2"/>
      <c r="R26" s="2"/>
      <c r="S26" s="2"/>
      <c r="T26" s="2"/>
      <c r="U26" s="2"/>
      <c r="V26" s="2"/>
      <c r="W26" s="2"/>
      <c r="X26" s="2"/>
      <c r="Y26" s="2"/>
      <c r="Z26" s="2"/>
      <c r="AA26" s="2"/>
      <c r="AB26" s="2"/>
      <c r="AC26" s="2"/>
      <c r="AD26" s="2"/>
      <c r="AE26" s="2"/>
      <c r="AF26" s="2"/>
      <c r="AG26" s="2"/>
      <c r="AH26" s="2"/>
      <c r="AI26" s="2"/>
      <c r="AJ26" s="2"/>
    </row>
    <row r="27" ht="15.75" customHeight="1">
      <c r="A27" s="2"/>
      <c r="B27" s="2"/>
      <c r="C27" s="2"/>
      <c r="D27" s="2"/>
      <c r="E27" s="2"/>
      <c r="F27" s="2"/>
      <c r="G27" s="2"/>
      <c r="H27" s="2"/>
      <c r="I27" s="2"/>
      <c r="J27" s="2"/>
      <c r="K27" s="2"/>
      <c r="L27" s="2"/>
      <c r="M27" s="2"/>
      <c r="O27" s="2"/>
      <c r="P27" s="2"/>
      <c r="Q27" s="2"/>
      <c r="R27" s="2"/>
      <c r="S27" s="2"/>
      <c r="T27" s="2"/>
      <c r="U27" s="2"/>
      <c r="V27" s="2"/>
      <c r="W27" s="2"/>
      <c r="X27" s="2"/>
      <c r="Y27" s="2"/>
      <c r="Z27" s="2"/>
      <c r="AA27" s="2"/>
      <c r="AB27" s="2"/>
      <c r="AC27" s="2"/>
      <c r="AD27" s="2"/>
      <c r="AE27" s="2"/>
      <c r="AF27" s="2"/>
      <c r="AG27" s="2"/>
      <c r="AH27" s="2"/>
      <c r="AI27" s="2"/>
      <c r="AJ27" s="2"/>
    </row>
    <row r="28" ht="15.75" customHeight="1">
      <c r="A28" s="2"/>
      <c r="B28" s="2"/>
      <c r="C28" s="2"/>
      <c r="D28" s="2"/>
      <c r="E28" s="2"/>
      <c r="F28" s="2"/>
      <c r="G28" s="2"/>
      <c r="H28" s="2"/>
      <c r="I28" s="2"/>
      <c r="J28" s="2"/>
      <c r="K28" s="2"/>
      <c r="L28" s="2"/>
      <c r="M28" s="2"/>
      <c r="O28" s="2"/>
      <c r="P28" s="2"/>
      <c r="Q28" s="2"/>
      <c r="R28" s="2"/>
      <c r="S28" s="2"/>
      <c r="T28" s="2"/>
      <c r="U28" s="2"/>
      <c r="V28" s="2"/>
      <c r="W28" s="2"/>
      <c r="X28" s="2"/>
      <c r="Y28" s="2"/>
      <c r="Z28" s="2"/>
      <c r="AA28" s="2"/>
      <c r="AB28" s="2"/>
      <c r="AC28" s="2"/>
      <c r="AD28" s="2"/>
      <c r="AE28" s="2"/>
      <c r="AF28" s="2"/>
      <c r="AG28" s="2"/>
      <c r="AH28" s="2"/>
      <c r="AI28" s="2"/>
      <c r="AJ28" s="2"/>
    </row>
    <row r="29" ht="15.75" customHeight="1">
      <c r="A29" s="2"/>
      <c r="B29" s="2"/>
      <c r="C29" s="2"/>
      <c r="D29" s="2"/>
      <c r="E29" s="2"/>
      <c r="F29" s="2"/>
      <c r="G29" s="2"/>
      <c r="H29" s="2"/>
      <c r="I29" s="2"/>
      <c r="J29" s="2"/>
      <c r="K29" s="2"/>
      <c r="L29" s="2"/>
      <c r="M29" s="2"/>
      <c r="O29" s="2"/>
      <c r="P29" s="2"/>
      <c r="Q29" s="2"/>
      <c r="R29" s="2"/>
      <c r="S29" s="2"/>
      <c r="T29" s="2"/>
      <c r="U29" s="2"/>
      <c r="V29" s="2"/>
      <c r="W29" s="2"/>
      <c r="X29" s="2"/>
      <c r="Y29" s="2"/>
      <c r="Z29" s="2"/>
      <c r="AA29" s="2"/>
      <c r="AB29" s="2"/>
      <c r="AC29" s="2"/>
      <c r="AD29" s="2"/>
      <c r="AE29" s="2"/>
      <c r="AF29" s="2"/>
      <c r="AG29" s="2"/>
      <c r="AH29" s="2"/>
      <c r="AI29" s="2"/>
      <c r="AJ29" s="2"/>
    </row>
    <row r="30" ht="15.75" customHeight="1">
      <c r="A30" s="2"/>
      <c r="B30" s="2"/>
      <c r="C30" s="2"/>
      <c r="D30" s="2"/>
      <c r="E30" s="2"/>
      <c r="F30" s="2"/>
      <c r="G30" s="2"/>
      <c r="H30" s="2"/>
      <c r="I30" s="2"/>
      <c r="J30" s="2"/>
      <c r="K30" s="2"/>
      <c r="L30" s="2"/>
      <c r="M30" s="2"/>
      <c r="O30" s="2"/>
      <c r="P30" s="2"/>
      <c r="Q30" s="2"/>
      <c r="R30" s="2"/>
      <c r="S30" s="2"/>
      <c r="T30" s="2"/>
      <c r="U30" s="2"/>
      <c r="V30" s="2"/>
      <c r="W30" s="2"/>
      <c r="X30" s="2"/>
      <c r="Y30" s="2"/>
      <c r="Z30" s="2"/>
      <c r="AA30" s="2"/>
      <c r="AB30" s="2"/>
      <c r="AC30" s="2"/>
      <c r="AD30" s="2"/>
      <c r="AE30" s="2"/>
      <c r="AF30" s="2"/>
      <c r="AG30" s="2"/>
      <c r="AH30" s="2"/>
      <c r="AI30" s="2"/>
      <c r="AJ30" s="2"/>
    </row>
    <row r="31" ht="15.75" customHeight="1">
      <c r="A31" s="2"/>
      <c r="B31" s="2"/>
      <c r="C31" s="2"/>
      <c r="D31" s="2"/>
      <c r="E31" s="2"/>
      <c r="F31" s="2"/>
      <c r="G31" s="2"/>
      <c r="H31" s="2"/>
      <c r="I31" s="2"/>
      <c r="J31" s="2"/>
      <c r="K31" s="2"/>
      <c r="L31" s="2"/>
      <c r="M31" s="2"/>
      <c r="O31" s="2"/>
      <c r="P31" s="2"/>
      <c r="Q31" s="2"/>
      <c r="R31" s="2"/>
      <c r="S31" s="2"/>
      <c r="T31" s="2"/>
      <c r="U31" s="2"/>
      <c r="V31" s="2"/>
      <c r="W31" s="2"/>
      <c r="X31" s="2"/>
      <c r="Y31" s="2"/>
      <c r="Z31" s="2"/>
      <c r="AA31" s="2"/>
      <c r="AB31" s="2"/>
      <c r="AC31" s="2"/>
      <c r="AD31" s="2"/>
      <c r="AE31" s="2"/>
      <c r="AF31" s="2"/>
      <c r="AG31" s="2"/>
      <c r="AH31" s="2"/>
      <c r="AI31" s="2"/>
      <c r="AJ31" s="2"/>
    </row>
    <row r="32" ht="15.75" customHeight="1">
      <c r="A32" s="2"/>
      <c r="B32" s="2"/>
      <c r="C32" s="2"/>
      <c r="D32" s="2"/>
      <c r="E32" s="2"/>
      <c r="F32" s="2"/>
      <c r="G32" s="2"/>
      <c r="H32" s="2"/>
      <c r="I32" s="2"/>
      <c r="J32" s="2"/>
      <c r="K32" s="2"/>
      <c r="L32" s="2"/>
      <c r="M32" s="2"/>
      <c r="O32" s="2"/>
      <c r="P32" s="2"/>
      <c r="Q32" s="2"/>
      <c r="R32" s="2"/>
      <c r="S32" s="2"/>
      <c r="T32" s="2"/>
      <c r="U32" s="2"/>
      <c r="V32" s="2"/>
      <c r="W32" s="2"/>
      <c r="X32" s="2"/>
      <c r="Y32" s="2"/>
      <c r="Z32" s="2"/>
      <c r="AA32" s="2"/>
      <c r="AB32" s="2"/>
      <c r="AC32" s="2"/>
      <c r="AD32" s="2"/>
      <c r="AE32" s="2"/>
      <c r="AF32" s="2"/>
      <c r="AG32" s="2"/>
      <c r="AH32" s="2"/>
      <c r="AI32" s="2"/>
      <c r="AJ32" s="2"/>
    </row>
    <row r="33" ht="15.75" customHeight="1">
      <c r="A33" s="2"/>
      <c r="B33" s="2"/>
      <c r="C33" s="2"/>
      <c r="D33" s="2"/>
      <c r="E33" s="2"/>
      <c r="F33" s="2"/>
      <c r="G33" s="2"/>
      <c r="H33" s="2"/>
      <c r="I33" s="2"/>
      <c r="J33" s="2"/>
      <c r="K33" s="2"/>
      <c r="L33" s="2"/>
      <c r="M33" s="2"/>
      <c r="O33" s="2"/>
      <c r="P33" s="2"/>
      <c r="Q33" s="2"/>
      <c r="R33" s="2"/>
      <c r="S33" s="2"/>
      <c r="T33" s="2"/>
      <c r="U33" s="2"/>
      <c r="V33" s="2"/>
      <c r="W33" s="2"/>
      <c r="X33" s="2"/>
      <c r="Y33" s="2"/>
      <c r="Z33" s="2"/>
      <c r="AA33" s="2"/>
      <c r="AB33" s="2"/>
      <c r="AC33" s="2"/>
      <c r="AD33" s="2"/>
      <c r="AE33" s="2"/>
      <c r="AF33" s="2"/>
      <c r="AG33" s="2"/>
      <c r="AH33" s="2"/>
      <c r="AI33" s="2"/>
      <c r="AJ33" s="2"/>
    </row>
    <row r="34" ht="15.75" customHeight="1">
      <c r="A34" s="2"/>
      <c r="B34" s="2"/>
      <c r="C34" s="2"/>
      <c r="D34" s="2"/>
      <c r="E34" s="2"/>
      <c r="F34" s="2"/>
      <c r="G34" s="2"/>
      <c r="H34" s="2"/>
      <c r="I34" s="2"/>
      <c r="J34" s="2"/>
      <c r="K34" s="2"/>
      <c r="L34" s="2"/>
      <c r="M34" s="2"/>
      <c r="O34" s="2"/>
      <c r="P34" s="2"/>
      <c r="Q34" s="2"/>
      <c r="R34" s="2"/>
      <c r="S34" s="2"/>
      <c r="T34" s="2"/>
      <c r="U34" s="2"/>
      <c r="V34" s="2"/>
      <c r="W34" s="2"/>
      <c r="X34" s="2"/>
      <c r="Y34" s="2"/>
      <c r="Z34" s="2"/>
      <c r="AA34" s="2"/>
      <c r="AB34" s="2"/>
      <c r="AC34" s="2"/>
      <c r="AD34" s="2"/>
      <c r="AE34" s="2"/>
      <c r="AF34" s="2"/>
      <c r="AG34" s="2"/>
      <c r="AH34" s="2"/>
      <c r="AI34" s="2"/>
      <c r="AJ34" s="2"/>
    </row>
    <row r="35" ht="15.75" customHeight="1">
      <c r="A35" s="2"/>
      <c r="B35" s="2"/>
      <c r="C35" s="2"/>
      <c r="D35" s="2"/>
      <c r="E35" s="2"/>
      <c r="F35" s="2"/>
      <c r="G35" s="2"/>
      <c r="H35" s="2"/>
      <c r="I35" s="2"/>
      <c r="J35" s="2"/>
      <c r="K35" s="2"/>
      <c r="L35" s="2"/>
      <c r="M35" s="2"/>
      <c r="O35" s="2"/>
      <c r="P35" s="2"/>
      <c r="Q35" s="2"/>
      <c r="R35" s="2"/>
      <c r="S35" s="2"/>
      <c r="T35" s="2"/>
      <c r="U35" s="2"/>
      <c r="V35" s="2"/>
      <c r="W35" s="2"/>
      <c r="X35" s="2"/>
      <c r="Y35" s="2"/>
      <c r="Z35" s="2"/>
      <c r="AA35" s="2"/>
      <c r="AB35" s="2"/>
      <c r="AC35" s="2"/>
      <c r="AD35" s="2"/>
      <c r="AE35" s="2"/>
      <c r="AF35" s="2"/>
      <c r="AG35" s="2"/>
      <c r="AH35" s="2"/>
      <c r="AI35" s="2"/>
      <c r="AJ35" s="2"/>
    </row>
    <row r="36" ht="15.75" customHeight="1">
      <c r="A36" s="2"/>
      <c r="B36" s="2"/>
      <c r="C36" s="2"/>
      <c r="D36" s="2"/>
      <c r="E36" s="2"/>
      <c r="F36" s="2"/>
      <c r="G36" s="2"/>
      <c r="H36" s="2"/>
      <c r="I36" s="2"/>
      <c r="J36" s="2"/>
      <c r="K36" s="2"/>
      <c r="L36" s="2"/>
      <c r="M36" s="2"/>
      <c r="O36" s="2"/>
      <c r="P36" s="2"/>
      <c r="Q36" s="2"/>
      <c r="R36" s="2"/>
      <c r="S36" s="2"/>
      <c r="T36" s="2"/>
      <c r="U36" s="2"/>
      <c r="V36" s="2"/>
      <c r="W36" s="2"/>
      <c r="X36" s="2"/>
      <c r="Y36" s="2"/>
      <c r="Z36" s="2"/>
      <c r="AA36" s="2"/>
      <c r="AB36" s="2"/>
      <c r="AC36" s="2"/>
      <c r="AD36" s="2"/>
      <c r="AE36" s="2"/>
      <c r="AF36" s="2"/>
      <c r="AG36" s="2"/>
      <c r="AH36" s="2"/>
      <c r="AI36" s="2"/>
      <c r="AJ36" s="2"/>
    </row>
    <row r="37" ht="15.75" customHeight="1">
      <c r="A37" s="2"/>
      <c r="B37" s="2"/>
      <c r="C37" s="2"/>
      <c r="D37" s="2"/>
      <c r="E37" s="2"/>
      <c r="F37" s="2"/>
      <c r="G37" s="2"/>
      <c r="H37" s="2"/>
      <c r="I37" s="2"/>
      <c r="J37" s="2"/>
      <c r="K37" s="2"/>
      <c r="L37" s="2"/>
      <c r="M37" s="2"/>
      <c r="O37" s="2"/>
      <c r="P37" s="2"/>
      <c r="Q37" s="2"/>
      <c r="R37" s="2"/>
      <c r="S37" s="2"/>
      <c r="T37" s="2"/>
      <c r="U37" s="2"/>
      <c r="V37" s="2"/>
      <c r="W37" s="2"/>
      <c r="X37" s="2"/>
      <c r="Y37" s="2"/>
      <c r="Z37" s="2"/>
      <c r="AA37" s="2"/>
      <c r="AB37" s="2"/>
      <c r="AC37" s="2"/>
      <c r="AD37" s="2"/>
      <c r="AE37" s="2"/>
      <c r="AF37" s="2"/>
      <c r="AG37" s="2"/>
      <c r="AH37" s="2"/>
      <c r="AI37" s="2"/>
      <c r="AJ37" s="2"/>
    </row>
    <row r="38" ht="15.75" customHeight="1">
      <c r="A38" s="2"/>
      <c r="B38" s="2"/>
      <c r="C38" s="2"/>
      <c r="D38" s="2"/>
      <c r="E38" s="2"/>
      <c r="F38" s="2"/>
      <c r="G38" s="2"/>
      <c r="H38" s="2"/>
      <c r="I38" s="2"/>
      <c r="J38" s="2"/>
      <c r="K38" s="2"/>
      <c r="L38" s="2"/>
      <c r="M38" s="2"/>
      <c r="O38" s="2"/>
      <c r="P38" s="2"/>
      <c r="Q38" s="2"/>
      <c r="R38" s="2"/>
      <c r="S38" s="2"/>
      <c r="T38" s="2"/>
      <c r="U38" s="2"/>
      <c r="V38" s="2"/>
      <c r="W38" s="2"/>
      <c r="X38" s="2"/>
      <c r="Y38" s="2"/>
      <c r="Z38" s="2"/>
      <c r="AA38" s="2"/>
      <c r="AB38" s="2"/>
      <c r="AC38" s="2"/>
      <c r="AD38" s="2"/>
      <c r="AE38" s="2"/>
      <c r="AF38" s="2"/>
      <c r="AG38" s="2"/>
      <c r="AH38" s="2"/>
      <c r="AI38" s="2"/>
      <c r="AJ38" s="2"/>
    </row>
    <row r="39" ht="15.75" customHeight="1">
      <c r="A39" s="2"/>
      <c r="B39" s="2"/>
      <c r="C39" s="2"/>
      <c r="D39" s="2"/>
      <c r="E39" s="2"/>
      <c r="F39" s="2"/>
      <c r="G39" s="2"/>
      <c r="H39" s="2"/>
      <c r="I39" s="2"/>
      <c r="J39" s="2"/>
      <c r="K39" s="2"/>
      <c r="L39" s="2"/>
      <c r="M39" s="2"/>
      <c r="O39" s="2"/>
      <c r="P39" s="2"/>
      <c r="Q39" s="2"/>
      <c r="R39" s="2"/>
      <c r="S39" s="2"/>
      <c r="T39" s="2"/>
      <c r="U39" s="2"/>
      <c r="V39" s="2"/>
      <c r="W39" s="2"/>
      <c r="X39" s="2"/>
      <c r="Y39" s="2"/>
      <c r="Z39" s="2"/>
      <c r="AA39" s="2"/>
      <c r="AB39" s="2"/>
      <c r="AC39" s="2"/>
      <c r="AD39" s="2"/>
      <c r="AE39" s="2"/>
      <c r="AF39" s="2"/>
      <c r="AG39" s="2"/>
      <c r="AH39" s="2"/>
      <c r="AI39" s="2"/>
      <c r="AJ39" s="2"/>
    </row>
    <row r="40" ht="15.75" customHeight="1">
      <c r="A40" s="2"/>
      <c r="B40" s="2"/>
      <c r="C40" s="2"/>
      <c r="D40" s="2"/>
      <c r="E40" s="2"/>
      <c r="F40" s="2"/>
      <c r="G40" s="2"/>
      <c r="H40" s="2"/>
      <c r="I40" s="2"/>
      <c r="J40" s="2"/>
      <c r="K40" s="2"/>
      <c r="L40" s="2"/>
      <c r="M40" s="2"/>
      <c r="O40" s="2"/>
      <c r="P40" s="2"/>
      <c r="Q40" s="2"/>
      <c r="R40" s="2"/>
      <c r="S40" s="2"/>
      <c r="T40" s="2"/>
      <c r="U40" s="2"/>
      <c r="V40" s="2"/>
      <c r="W40" s="2"/>
      <c r="X40" s="2"/>
      <c r="Y40" s="2"/>
      <c r="Z40" s="2"/>
      <c r="AA40" s="2"/>
      <c r="AB40" s="2"/>
      <c r="AC40" s="2"/>
      <c r="AD40" s="2"/>
      <c r="AE40" s="2"/>
      <c r="AF40" s="2"/>
      <c r="AG40" s="2"/>
      <c r="AH40" s="2"/>
      <c r="AI40" s="2"/>
      <c r="AJ40" s="2"/>
    </row>
    <row r="41" ht="15.75" customHeight="1">
      <c r="A41" s="2"/>
      <c r="B41" s="2"/>
      <c r="C41" s="2"/>
      <c r="D41" s="2"/>
      <c r="E41" s="2"/>
      <c r="F41" s="2"/>
      <c r="G41" s="2"/>
      <c r="H41" s="2"/>
      <c r="I41" s="2"/>
      <c r="J41" s="2"/>
      <c r="K41" s="2"/>
      <c r="L41" s="2"/>
      <c r="M41" s="2"/>
      <c r="O41" s="2"/>
      <c r="P41" s="2"/>
      <c r="Q41" s="2"/>
      <c r="R41" s="2"/>
      <c r="S41" s="2"/>
      <c r="T41" s="2"/>
      <c r="U41" s="2"/>
      <c r="V41" s="2"/>
      <c r="W41" s="2"/>
      <c r="X41" s="2"/>
      <c r="Y41" s="2"/>
      <c r="Z41" s="2"/>
      <c r="AA41" s="2"/>
      <c r="AB41" s="2"/>
      <c r="AC41" s="2"/>
      <c r="AD41" s="2"/>
      <c r="AE41" s="2"/>
      <c r="AF41" s="2"/>
      <c r="AG41" s="2"/>
      <c r="AH41" s="2"/>
      <c r="AI41" s="2"/>
      <c r="AJ41" s="2"/>
    </row>
    <row r="42" ht="15.75" customHeight="1">
      <c r="A42" s="2"/>
      <c r="B42" s="2"/>
      <c r="C42" s="2"/>
      <c r="D42" s="2"/>
      <c r="E42" s="2"/>
      <c r="F42" s="2"/>
      <c r="G42" s="2"/>
      <c r="H42" s="2"/>
      <c r="I42" s="2"/>
      <c r="J42" s="2"/>
      <c r="K42" s="2"/>
      <c r="L42" s="2"/>
      <c r="M42" s="2"/>
      <c r="O42" s="2"/>
      <c r="P42" s="2"/>
      <c r="Q42" s="2"/>
      <c r="R42" s="2"/>
      <c r="S42" s="2"/>
      <c r="T42" s="2"/>
      <c r="U42" s="2"/>
      <c r="V42" s="2"/>
      <c r="W42" s="2"/>
      <c r="X42" s="2"/>
      <c r="Y42" s="2"/>
      <c r="Z42" s="2"/>
      <c r="AA42" s="2"/>
      <c r="AB42" s="2"/>
      <c r="AC42" s="2"/>
      <c r="AD42" s="2"/>
      <c r="AE42" s="2"/>
      <c r="AF42" s="2"/>
      <c r="AG42" s="2"/>
      <c r="AH42" s="2"/>
      <c r="AI42" s="2"/>
      <c r="AJ42" s="2"/>
    </row>
    <row r="43" ht="15.75" customHeight="1">
      <c r="A43" s="2"/>
      <c r="B43" s="2"/>
      <c r="C43" s="2"/>
      <c r="D43" s="2"/>
      <c r="E43" s="2"/>
      <c r="F43" s="2"/>
      <c r="G43" s="2"/>
      <c r="H43" s="2"/>
      <c r="I43" s="2"/>
      <c r="J43" s="2"/>
      <c r="K43" s="2"/>
      <c r="L43" s="2"/>
      <c r="M43" s="2"/>
      <c r="O43" s="2"/>
      <c r="P43" s="2"/>
      <c r="Q43" s="2"/>
      <c r="R43" s="2"/>
      <c r="S43" s="2"/>
      <c r="T43" s="2"/>
      <c r="U43" s="2"/>
      <c r="V43" s="2"/>
      <c r="W43" s="2"/>
      <c r="X43" s="2"/>
      <c r="Y43" s="2"/>
      <c r="Z43" s="2"/>
      <c r="AA43" s="2"/>
      <c r="AB43" s="2"/>
      <c r="AC43" s="2"/>
      <c r="AD43" s="2"/>
      <c r="AE43" s="2"/>
      <c r="AF43" s="2"/>
      <c r="AG43" s="2"/>
      <c r="AH43" s="2"/>
      <c r="AI43" s="2"/>
      <c r="AJ43" s="2"/>
    </row>
    <row r="44" ht="15.75" customHeight="1">
      <c r="A44" s="2"/>
      <c r="B44" s="2"/>
      <c r="C44" s="2"/>
      <c r="D44" s="2"/>
      <c r="E44" s="2"/>
      <c r="F44" s="2"/>
      <c r="G44" s="2"/>
      <c r="H44" s="2"/>
      <c r="I44" s="2"/>
      <c r="J44" s="2"/>
      <c r="K44" s="2"/>
      <c r="L44" s="2"/>
      <c r="M44" s="2"/>
      <c r="O44" s="2"/>
      <c r="P44" s="2"/>
      <c r="Q44" s="2"/>
      <c r="R44" s="2"/>
      <c r="S44" s="2"/>
      <c r="T44" s="2"/>
      <c r="U44" s="2"/>
      <c r="V44" s="2"/>
      <c r="W44" s="2"/>
      <c r="X44" s="2"/>
      <c r="Y44" s="2"/>
      <c r="Z44" s="2"/>
      <c r="AA44" s="2"/>
      <c r="AB44" s="2"/>
      <c r="AC44" s="2"/>
      <c r="AD44" s="2"/>
      <c r="AE44" s="2"/>
      <c r="AF44" s="2"/>
      <c r="AG44" s="2"/>
      <c r="AH44" s="2"/>
      <c r="AI44" s="2"/>
      <c r="AJ44" s="2"/>
    </row>
    <row r="45" ht="15.75" customHeight="1">
      <c r="A45" s="2"/>
      <c r="B45" s="2"/>
      <c r="C45" s="2"/>
      <c r="D45" s="2"/>
      <c r="E45" s="2"/>
      <c r="F45" s="2"/>
      <c r="G45" s="2"/>
      <c r="H45" s="2"/>
      <c r="I45" s="2"/>
      <c r="J45" s="2"/>
      <c r="K45" s="2"/>
      <c r="L45" s="2"/>
      <c r="M45" s="2"/>
      <c r="O45" s="2"/>
      <c r="P45" s="2"/>
      <c r="Q45" s="2"/>
      <c r="R45" s="2"/>
      <c r="S45" s="2"/>
      <c r="T45" s="2"/>
      <c r="U45" s="2"/>
      <c r="V45" s="2"/>
      <c r="W45" s="2"/>
      <c r="X45" s="2"/>
      <c r="Y45" s="2"/>
      <c r="Z45" s="2"/>
      <c r="AA45" s="2"/>
      <c r="AB45" s="2"/>
      <c r="AC45" s="2"/>
      <c r="AD45" s="2"/>
      <c r="AE45" s="2"/>
      <c r="AF45" s="2"/>
      <c r="AG45" s="2"/>
      <c r="AH45" s="2"/>
      <c r="AI45" s="2"/>
      <c r="AJ45" s="2"/>
    </row>
    <row r="46" ht="15.75" customHeight="1">
      <c r="A46" s="2"/>
      <c r="B46" s="2"/>
      <c r="C46" s="2"/>
      <c r="D46" s="2"/>
      <c r="E46" s="2"/>
      <c r="F46" s="2"/>
      <c r="G46" s="2"/>
      <c r="H46" s="2"/>
      <c r="I46" s="2"/>
      <c r="J46" s="2"/>
      <c r="K46" s="2"/>
      <c r="L46" s="2"/>
      <c r="M46" s="2"/>
      <c r="O46" s="2"/>
      <c r="P46" s="2"/>
      <c r="Q46" s="2"/>
      <c r="R46" s="2"/>
      <c r="S46" s="2"/>
      <c r="T46" s="2"/>
      <c r="U46" s="2"/>
      <c r="V46" s="2"/>
      <c r="W46" s="2"/>
      <c r="X46" s="2"/>
      <c r="Y46" s="2"/>
      <c r="Z46" s="2"/>
      <c r="AA46" s="2"/>
      <c r="AB46" s="2"/>
      <c r="AC46" s="2"/>
      <c r="AD46" s="2"/>
      <c r="AE46" s="2"/>
      <c r="AF46" s="2"/>
      <c r="AG46" s="2"/>
      <c r="AH46" s="2"/>
      <c r="AI46" s="2"/>
      <c r="AJ46" s="2"/>
    </row>
    <row r="47" ht="15.75" customHeight="1">
      <c r="A47" s="2"/>
      <c r="B47" s="2"/>
      <c r="C47" s="2"/>
      <c r="D47" s="2"/>
      <c r="E47" s="2"/>
      <c r="F47" s="2"/>
      <c r="G47" s="2"/>
      <c r="H47" s="2"/>
      <c r="I47" s="2"/>
      <c r="J47" s="2"/>
      <c r="K47" s="2"/>
      <c r="L47" s="2"/>
      <c r="M47" s="2"/>
      <c r="O47" s="2"/>
      <c r="P47" s="2"/>
      <c r="Q47" s="2"/>
      <c r="R47" s="2"/>
      <c r="S47" s="2"/>
      <c r="T47" s="2"/>
      <c r="U47" s="2"/>
      <c r="V47" s="2"/>
      <c r="W47" s="2"/>
      <c r="X47" s="2"/>
      <c r="Y47" s="2"/>
      <c r="Z47" s="2"/>
      <c r="AA47" s="2"/>
      <c r="AB47" s="2"/>
      <c r="AC47" s="2"/>
      <c r="AD47" s="2"/>
      <c r="AE47" s="2"/>
      <c r="AF47" s="2"/>
      <c r="AG47" s="2"/>
      <c r="AH47" s="2"/>
      <c r="AI47" s="2"/>
      <c r="AJ47" s="2"/>
    </row>
    <row r="48" ht="15.75" customHeight="1">
      <c r="A48" s="2"/>
      <c r="B48" s="2"/>
      <c r="C48" s="2"/>
      <c r="D48" s="2"/>
      <c r="E48" s="2"/>
      <c r="F48" s="2"/>
      <c r="G48" s="2"/>
      <c r="H48" s="2"/>
      <c r="I48" s="2"/>
      <c r="J48" s="2"/>
      <c r="K48" s="2"/>
      <c r="L48" s="2"/>
      <c r="M48" s="2"/>
      <c r="O48" s="2"/>
      <c r="P48" s="2"/>
      <c r="Q48" s="2"/>
      <c r="R48" s="2"/>
      <c r="S48" s="2"/>
      <c r="T48" s="2"/>
      <c r="U48" s="2"/>
      <c r="V48" s="2"/>
      <c r="W48" s="2"/>
      <c r="X48" s="2"/>
      <c r="Y48" s="2"/>
      <c r="Z48" s="2"/>
      <c r="AA48" s="2"/>
      <c r="AB48" s="2"/>
      <c r="AC48" s="2"/>
      <c r="AD48" s="2"/>
      <c r="AE48" s="2"/>
      <c r="AF48" s="2"/>
      <c r="AG48" s="2"/>
      <c r="AH48" s="2"/>
      <c r="AI48" s="2"/>
      <c r="AJ48" s="2"/>
    </row>
    <row r="49" ht="15.75" customHeight="1">
      <c r="A49" s="2"/>
      <c r="B49" s="2"/>
      <c r="C49" s="2"/>
      <c r="D49" s="2"/>
      <c r="E49" s="2"/>
      <c r="F49" s="2"/>
      <c r="G49" s="2"/>
      <c r="H49" s="2"/>
      <c r="I49" s="2"/>
      <c r="J49" s="2"/>
      <c r="K49" s="2"/>
      <c r="L49" s="2"/>
      <c r="M49" s="2"/>
      <c r="O49" s="2"/>
      <c r="P49" s="2"/>
      <c r="Q49" s="2"/>
      <c r="R49" s="2"/>
      <c r="S49" s="2"/>
      <c r="T49" s="2"/>
      <c r="U49" s="2"/>
      <c r="V49" s="2"/>
      <c r="W49" s="2"/>
      <c r="X49" s="2"/>
      <c r="Y49" s="2"/>
      <c r="Z49" s="2"/>
      <c r="AA49" s="2"/>
      <c r="AB49" s="2"/>
      <c r="AC49" s="2"/>
      <c r="AD49" s="2"/>
      <c r="AE49" s="2"/>
      <c r="AF49" s="2"/>
      <c r="AG49" s="2"/>
      <c r="AH49" s="2"/>
      <c r="AI49" s="2"/>
      <c r="AJ49" s="2"/>
    </row>
    <row r="50" ht="15.75" customHeight="1">
      <c r="A50" s="2"/>
      <c r="B50" s="2"/>
      <c r="C50" s="2"/>
      <c r="D50" s="2"/>
      <c r="E50" s="2"/>
      <c r="F50" s="2"/>
      <c r="G50" s="2"/>
      <c r="H50" s="2"/>
      <c r="I50" s="2"/>
      <c r="J50" s="2"/>
      <c r="K50" s="2"/>
      <c r="L50" s="2"/>
      <c r="M50" s="2"/>
      <c r="O50" s="2"/>
      <c r="P50" s="2"/>
      <c r="Q50" s="2"/>
      <c r="R50" s="2"/>
      <c r="S50" s="2"/>
      <c r="T50" s="2"/>
      <c r="U50" s="2"/>
      <c r="V50" s="2"/>
      <c r="W50" s="2"/>
      <c r="X50" s="2"/>
      <c r="Y50" s="2"/>
      <c r="Z50" s="2"/>
      <c r="AA50" s="2"/>
      <c r="AB50" s="2"/>
      <c r="AC50" s="2"/>
      <c r="AD50" s="2"/>
      <c r="AE50" s="2"/>
      <c r="AF50" s="2"/>
      <c r="AG50" s="2"/>
      <c r="AH50" s="2"/>
      <c r="AI50" s="2"/>
      <c r="AJ50" s="2"/>
    </row>
    <row r="51" ht="15.75" customHeight="1">
      <c r="A51" s="2"/>
      <c r="B51" s="2"/>
      <c r="C51" s="2"/>
      <c r="D51" s="2"/>
      <c r="E51" s="2"/>
      <c r="F51" s="2"/>
      <c r="G51" s="2"/>
      <c r="H51" s="2"/>
      <c r="I51" s="2"/>
      <c r="J51" s="2"/>
      <c r="K51" s="2"/>
      <c r="L51" s="2"/>
      <c r="M51" s="2"/>
      <c r="O51" s="2"/>
      <c r="P51" s="2"/>
      <c r="Q51" s="2"/>
      <c r="R51" s="2"/>
      <c r="S51" s="2"/>
      <c r="T51" s="2"/>
      <c r="U51" s="2"/>
      <c r="V51" s="2"/>
      <c r="W51" s="2"/>
      <c r="X51" s="2"/>
      <c r="Y51" s="2"/>
      <c r="Z51" s="2"/>
      <c r="AA51" s="2"/>
      <c r="AB51" s="2"/>
      <c r="AC51" s="2"/>
      <c r="AD51" s="2"/>
      <c r="AE51" s="2"/>
      <c r="AF51" s="2"/>
      <c r="AG51" s="2"/>
      <c r="AH51" s="2"/>
      <c r="AI51" s="2"/>
      <c r="AJ51" s="2"/>
    </row>
    <row r="52" ht="15.75" customHeight="1">
      <c r="A52" s="2"/>
      <c r="B52" s="2"/>
      <c r="C52" s="2"/>
      <c r="D52" s="2"/>
      <c r="E52" s="2"/>
      <c r="F52" s="2"/>
      <c r="G52" s="2"/>
      <c r="H52" s="2"/>
      <c r="I52" s="2"/>
      <c r="J52" s="2"/>
      <c r="K52" s="2"/>
      <c r="L52" s="2"/>
      <c r="M52" s="2"/>
      <c r="O52" s="2"/>
      <c r="P52" s="2"/>
      <c r="Q52" s="2"/>
      <c r="R52" s="2"/>
      <c r="S52" s="2"/>
      <c r="T52" s="2"/>
      <c r="U52" s="2"/>
      <c r="V52" s="2"/>
      <c r="W52" s="2"/>
      <c r="X52" s="2"/>
      <c r="Y52" s="2"/>
      <c r="Z52" s="2"/>
      <c r="AA52" s="2"/>
      <c r="AB52" s="2"/>
      <c r="AC52" s="2"/>
      <c r="AD52" s="2"/>
      <c r="AE52" s="2"/>
      <c r="AF52" s="2"/>
      <c r="AG52" s="2"/>
      <c r="AH52" s="2"/>
      <c r="AI52" s="2"/>
      <c r="AJ52" s="2"/>
    </row>
    <row r="53" ht="15.75" customHeight="1">
      <c r="A53" s="2"/>
      <c r="B53" s="2"/>
      <c r="C53" s="2"/>
      <c r="D53" s="2"/>
      <c r="E53" s="2"/>
      <c r="F53" s="2"/>
      <c r="G53" s="2"/>
      <c r="H53" s="2"/>
      <c r="I53" s="2"/>
      <c r="J53" s="2"/>
      <c r="K53" s="2"/>
      <c r="L53" s="2"/>
      <c r="M53" s="2"/>
      <c r="O53" s="2"/>
      <c r="P53" s="2"/>
      <c r="Q53" s="2"/>
      <c r="R53" s="2"/>
      <c r="S53" s="2"/>
      <c r="T53" s="2"/>
      <c r="U53" s="2"/>
      <c r="V53" s="2"/>
      <c r="W53" s="2"/>
      <c r="X53" s="2"/>
      <c r="Y53" s="2"/>
      <c r="Z53" s="2"/>
      <c r="AA53" s="2"/>
      <c r="AB53" s="2"/>
      <c r="AC53" s="2"/>
      <c r="AD53" s="2"/>
      <c r="AE53" s="2"/>
      <c r="AF53" s="2"/>
      <c r="AG53" s="2"/>
      <c r="AH53" s="2"/>
      <c r="AI53" s="2"/>
      <c r="AJ53" s="2"/>
    </row>
    <row r="54" ht="15.75" customHeight="1">
      <c r="A54" s="2"/>
      <c r="B54" s="2"/>
      <c r="C54" s="2"/>
      <c r="D54" s="2"/>
      <c r="E54" s="2"/>
      <c r="F54" s="2"/>
      <c r="G54" s="2"/>
      <c r="H54" s="2"/>
      <c r="I54" s="2"/>
      <c r="J54" s="2"/>
      <c r="K54" s="2"/>
      <c r="L54" s="2"/>
      <c r="M54" s="2"/>
      <c r="O54" s="2"/>
      <c r="P54" s="2"/>
      <c r="Q54" s="2"/>
      <c r="R54" s="2"/>
      <c r="S54" s="2"/>
      <c r="T54" s="2"/>
      <c r="U54" s="2"/>
      <c r="V54" s="2"/>
      <c r="W54" s="2"/>
      <c r="X54" s="2"/>
      <c r="Y54" s="2"/>
      <c r="Z54" s="2"/>
      <c r="AA54" s="2"/>
      <c r="AB54" s="2"/>
      <c r="AC54" s="2"/>
      <c r="AD54" s="2"/>
      <c r="AE54" s="2"/>
      <c r="AF54" s="2"/>
      <c r="AG54" s="2"/>
      <c r="AH54" s="2"/>
      <c r="AI54" s="2"/>
      <c r="AJ54" s="2"/>
    </row>
    <row r="55" ht="15.75" customHeight="1">
      <c r="A55" s="2"/>
      <c r="B55" s="2"/>
      <c r="C55" s="2"/>
      <c r="D55" s="2"/>
      <c r="E55" s="2"/>
      <c r="F55" s="2"/>
      <c r="G55" s="2"/>
      <c r="H55" s="2"/>
      <c r="I55" s="2"/>
      <c r="J55" s="2"/>
      <c r="K55" s="2"/>
      <c r="L55" s="2"/>
      <c r="M55" s="2"/>
      <c r="O55" s="2"/>
      <c r="P55" s="2"/>
      <c r="Q55" s="2"/>
      <c r="R55" s="2"/>
      <c r="S55" s="2"/>
      <c r="T55" s="2"/>
      <c r="U55" s="2"/>
      <c r="V55" s="2"/>
      <c r="W55" s="2"/>
      <c r="X55" s="2"/>
      <c r="Y55" s="2"/>
      <c r="Z55" s="2"/>
      <c r="AA55" s="2"/>
      <c r="AB55" s="2"/>
      <c r="AC55" s="2"/>
      <c r="AD55" s="2"/>
      <c r="AE55" s="2"/>
      <c r="AF55" s="2"/>
      <c r="AG55" s="2"/>
      <c r="AH55" s="2"/>
      <c r="AI55" s="2"/>
      <c r="AJ55" s="2"/>
    </row>
    <row r="56" ht="15.75" customHeight="1">
      <c r="A56" s="2"/>
      <c r="B56" s="2"/>
      <c r="C56" s="2"/>
      <c r="D56" s="2"/>
      <c r="E56" s="2"/>
      <c r="F56" s="2"/>
      <c r="G56" s="2"/>
      <c r="H56" s="2"/>
      <c r="I56" s="2"/>
      <c r="J56" s="2"/>
      <c r="K56" s="2"/>
      <c r="L56" s="2"/>
      <c r="M56" s="2"/>
      <c r="O56" s="2"/>
      <c r="P56" s="2"/>
      <c r="Q56" s="2"/>
      <c r="R56" s="2"/>
      <c r="S56" s="2"/>
      <c r="T56" s="2"/>
      <c r="U56" s="2"/>
      <c r="V56" s="2"/>
      <c r="W56" s="2"/>
      <c r="X56" s="2"/>
      <c r="Y56" s="2"/>
      <c r="Z56" s="2"/>
      <c r="AA56" s="2"/>
      <c r="AB56" s="2"/>
      <c r="AC56" s="2"/>
      <c r="AD56" s="2"/>
      <c r="AE56" s="2"/>
      <c r="AF56" s="2"/>
      <c r="AG56" s="2"/>
      <c r="AH56" s="2"/>
      <c r="AI56" s="2"/>
      <c r="AJ56" s="2"/>
    </row>
    <row r="57" ht="15.75" customHeight="1">
      <c r="A57" s="2"/>
      <c r="B57" s="2"/>
      <c r="C57" s="2"/>
      <c r="D57" s="2"/>
      <c r="E57" s="2"/>
      <c r="F57" s="2"/>
      <c r="G57" s="2"/>
      <c r="H57" s="2"/>
      <c r="I57" s="2"/>
      <c r="J57" s="2"/>
      <c r="K57" s="2"/>
      <c r="L57" s="2"/>
      <c r="M57" s="2"/>
      <c r="O57" s="2"/>
      <c r="P57" s="2"/>
      <c r="Q57" s="2"/>
      <c r="R57" s="2"/>
      <c r="S57" s="2"/>
      <c r="T57" s="2"/>
      <c r="U57" s="2"/>
      <c r="V57" s="2"/>
      <c r="W57" s="2"/>
      <c r="X57" s="2"/>
      <c r="Y57" s="2"/>
      <c r="Z57" s="2"/>
      <c r="AA57" s="2"/>
      <c r="AB57" s="2"/>
      <c r="AC57" s="2"/>
      <c r="AD57" s="2"/>
      <c r="AE57" s="2"/>
      <c r="AF57" s="2"/>
      <c r="AG57" s="2"/>
      <c r="AH57" s="2"/>
      <c r="AI57" s="2"/>
      <c r="AJ57" s="2"/>
    </row>
    <row r="58" ht="15.75" customHeight="1">
      <c r="A58" s="2"/>
      <c r="B58" s="2"/>
      <c r="C58" s="2"/>
      <c r="D58" s="2"/>
      <c r="E58" s="2"/>
      <c r="F58" s="2"/>
      <c r="G58" s="2"/>
      <c r="H58" s="2"/>
      <c r="I58" s="2"/>
      <c r="J58" s="2"/>
      <c r="K58" s="2"/>
      <c r="L58" s="2"/>
      <c r="M58" s="2"/>
      <c r="O58" s="2"/>
      <c r="P58" s="2"/>
      <c r="Q58" s="2"/>
      <c r="R58" s="2"/>
      <c r="S58" s="2"/>
      <c r="T58" s="2"/>
      <c r="U58" s="2"/>
      <c r="V58" s="2"/>
      <c r="W58" s="2"/>
      <c r="X58" s="2"/>
      <c r="Y58" s="2"/>
      <c r="Z58" s="2"/>
      <c r="AA58" s="2"/>
      <c r="AB58" s="2"/>
      <c r="AC58" s="2"/>
      <c r="AD58" s="2"/>
      <c r="AE58" s="2"/>
      <c r="AF58" s="2"/>
      <c r="AG58" s="2"/>
      <c r="AH58" s="2"/>
      <c r="AI58" s="2"/>
      <c r="AJ58" s="2"/>
    </row>
    <row r="59" ht="15.75" customHeight="1">
      <c r="A59" s="2"/>
      <c r="B59" s="2"/>
      <c r="C59" s="2"/>
      <c r="D59" s="2"/>
      <c r="E59" s="2"/>
      <c r="F59" s="2"/>
      <c r="G59" s="2"/>
      <c r="H59" s="2"/>
      <c r="I59" s="2"/>
      <c r="J59" s="2"/>
      <c r="K59" s="2"/>
      <c r="L59" s="2"/>
      <c r="M59" s="2"/>
      <c r="O59" s="2"/>
      <c r="P59" s="2"/>
      <c r="Q59" s="2"/>
      <c r="R59" s="2"/>
      <c r="S59" s="2"/>
      <c r="T59" s="2"/>
      <c r="U59" s="2"/>
      <c r="V59" s="2"/>
      <c r="W59" s="2"/>
      <c r="X59" s="2"/>
      <c r="Y59" s="2"/>
      <c r="Z59" s="2"/>
      <c r="AA59" s="2"/>
      <c r="AB59" s="2"/>
      <c r="AC59" s="2"/>
      <c r="AD59" s="2"/>
      <c r="AE59" s="2"/>
      <c r="AF59" s="2"/>
      <c r="AG59" s="2"/>
      <c r="AH59" s="2"/>
      <c r="AI59" s="2"/>
      <c r="AJ59" s="2"/>
    </row>
    <row r="60" ht="15.75" customHeight="1">
      <c r="A60" s="2"/>
      <c r="B60" s="2"/>
      <c r="C60" s="2"/>
      <c r="D60" s="2"/>
      <c r="E60" s="2"/>
      <c r="F60" s="2"/>
      <c r="G60" s="2"/>
      <c r="H60" s="2"/>
      <c r="I60" s="2"/>
      <c r="J60" s="2"/>
      <c r="K60" s="2"/>
      <c r="L60" s="2"/>
      <c r="M60" s="2"/>
      <c r="O60" s="2"/>
      <c r="P60" s="2"/>
      <c r="Q60" s="2"/>
      <c r="R60" s="2"/>
      <c r="S60" s="2"/>
      <c r="T60" s="2"/>
      <c r="U60" s="2"/>
      <c r="V60" s="2"/>
      <c r="W60" s="2"/>
      <c r="X60" s="2"/>
      <c r="Y60" s="2"/>
      <c r="Z60" s="2"/>
      <c r="AA60" s="2"/>
      <c r="AB60" s="2"/>
      <c r="AC60" s="2"/>
      <c r="AD60" s="2"/>
      <c r="AE60" s="2"/>
      <c r="AF60" s="2"/>
      <c r="AG60" s="2"/>
      <c r="AH60" s="2"/>
      <c r="AI60" s="2"/>
      <c r="AJ60" s="2"/>
    </row>
    <row r="61" ht="15.75" customHeight="1">
      <c r="A61" s="2"/>
      <c r="B61" s="2"/>
      <c r="C61" s="2"/>
      <c r="D61" s="2"/>
      <c r="E61" s="2"/>
      <c r="F61" s="2"/>
      <c r="G61" s="2"/>
      <c r="H61" s="2"/>
      <c r="I61" s="2"/>
      <c r="J61" s="2"/>
      <c r="K61" s="2"/>
      <c r="L61" s="2"/>
      <c r="M61" s="2"/>
      <c r="O61" s="2"/>
      <c r="P61" s="2"/>
      <c r="Q61" s="2"/>
      <c r="R61" s="2"/>
      <c r="S61" s="2"/>
      <c r="T61" s="2"/>
      <c r="U61" s="2"/>
      <c r="V61" s="2"/>
      <c r="W61" s="2"/>
      <c r="X61" s="2"/>
      <c r="Y61" s="2"/>
      <c r="Z61" s="2"/>
      <c r="AA61" s="2"/>
      <c r="AB61" s="2"/>
      <c r="AC61" s="2"/>
      <c r="AD61" s="2"/>
      <c r="AE61" s="2"/>
      <c r="AF61" s="2"/>
      <c r="AG61" s="2"/>
      <c r="AH61" s="2"/>
      <c r="AI61" s="2"/>
      <c r="AJ61" s="2"/>
    </row>
    <row r="62" ht="15.75" customHeight="1">
      <c r="A62" s="2"/>
      <c r="B62" s="2"/>
      <c r="C62" s="2"/>
      <c r="D62" s="2"/>
      <c r="E62" s="2"/>
      <c r="F62" s="2"/>
      <c r="G62" s="2"/>
      <c r="H62" s="2"/>
      <c r="I62" s="2"/>
      <c r="J62" s="2"/>
      <c r="K62" s="2"/>
      <c r="L62" s="2"/>
      <c r="M62" s="2"/>
      <c r="O62" s="2"/>
      <c r="P62" s="2"/>
      <c r="Q62" s="2"/>
      <c r="R62" s="2"/>
      <c r="S62" s="2"/>
      <c r="T62" s="2"/>
      <c r="U62" s="2"/>
      <c r="V62" s="2"/>
      <c r="W62" s="2"/>
      <c r="X62" s="2"/>
      <c r="Y62" s="2"/>
      <c r="Z62" s="2"/>
      <c r="AA62" s="2"/>
      <c r="AB62" s="2"/>
      <c r="AC62" s="2"/>
      <c r="AD62" s="2"/>
      <c r="AE62" s="2"/>
      <c r="AF62" s="2"/>
      <c r="AG62" s="2"/>
      <c r="AH62" s="2"/>
      <c r="AI62" s="2"/>
      <c r="AJ62" s="2"/>
    </row>
    <row r="63" ht="15.75" customHeight="1">
      <c r="A63" s="2"/>
      <c r="B63" s="2"/>
      <c r="C63" s="2"/>
      <c r="D63" s="2"/>
      <c r="E63" s="2"/>
      <c r="F63" s="2"/>
      <c r="G63" s="2"/>
      <c r="H63" s="2"/>
      <c r="I63" s="2"/>
      <c r="J63" s="2"/>
      <c r="K63" s="2"/>
      <c r="L63" s="2"/>
      <c r="M63" s="2"/>
      <c r="O63" s="2"/>
      <c r="P63" s="2"/>
      <c r="Q63" s="2"/>
      <c r="R63" s="2"/>
      <c r="S63" s="2"/>
      <c r="T63" s="2"/>
      <c r="U63" s="2"/>
      <c r="V63" s="2"/>
      <c r="W63" s="2"/>
      <c r="X63" s="2"/>
      <c r="Y63" s="2"/>
      <c r="Z63" s="2"/>
      <c r="AA63" s="2"/>
      <c r="AB63" s="2"/>
      <c r="AC63" s="2"/>
      <c r="AD63" s="2"/>
      <c r="AE63" s="2"/>
      <c r="AF63" s="2"/>
      <c r="AG63" s="2"/>
      <c r="AH63" s="2"/>
      <c r="AI63" s="2"/>
      <c r="AJ63" s="2"/>
    </row>
    <row r="64" ht="15.75" customHeight="1">
      <c r="A64" s="2"/>
      <c r="B64" s="2"/>
      <c r="C64" s="2"/>
      <c r="D64" s="2"/>
      <c r="E64" s="2"/>
      <c r="F64" s="2"/>
      <c r="G64" s="2"/>
      <c r="H64" s="2"/>
      <c r="I64" s="2"/>
      <c r="J64" s="2"/>
      <c r="K64" s="2"/>
      <c r="L64" s="2"/>
      <c r="M64" s="2"/>
      <c r="O64" s="2"/>
      <c r="P64" s="2"/>
      <c r="Q64" s="2"/>
      <c r="R64" s="2"/>
      <c r="S64" s="2"/>
      <c r="T64" s="2"/>
      <c r="U64" s="2"/>
      <c r="V64" s="2"/>
      <c r="W64" s="2"/>
      <c r="X64" s="2"/>
      <c r="Y64" s="2"/>
      <c r="Z64" s="2"/>
      <c r="AA64" s="2"/>
      <c r="AB64" s="2"/>
      <c r="AC64" s="2"/>
      <c r="AD64" s="2"/>
      <c r="AE64" s="2"/>
      <c r="AF64" s="2"/>
      <c r="AG64" s="2"/>
      <c r="AH64" s="2"/>
      <c r="AI64" s="2"/>
      <c r="AJ64" s="2"/>
    </row>
    <row r="65" ht="15.75" customHeight="1">
      <c r="A65" s="2"/>
      <c r="B65" s="2"/>
      <c r="C65" s="2"/>
      <c r="D65" s="2"/>
      <c r="E65" s="2"/>
      <c r="F65" s="2"/>
      <c r="G65" s="2"/>
      <c r="H65" s="2"/>
      <c r="I65" s="2"/>
      <c r="J65" s="2"/>
      <c r="K65" s="2"/>
      <c r="L65" s="2"/>
      <c r="M65" s="2"/>
      <c r="O65" s="2"/>
      <c r="P65" s="2"/>
      <c r="Q65" s="2"/>
      <c r="R65" s="2"/>
      <c r="S65" s="2"/>
      <c r="T65" s="2"/>
      <c r="U65" s="2"/>
      <c r="V65" s="2"/>
      <c r="W65" s="2"/>
      <c r="X65" s="2"/>
      <c r="Y65" s="2"/>
      <c r="Z65" s="2"/>
      <c r="AA65" s="2"/>
      <c r="AB65" s="2"/>
      <c r="AC65" s="2"/>
      <c r="AD65" s="2"/>
      <c r="AE65" s="2"/>
      <c r="AF65" s="2"/>
      <c r="AG65" s="2"/>
      <c r="AH65" s="2"/>
      <c r="AI65" s="2"/>
      <c r="AJ65" s="2"/>
    </row>
    <row r="66" ht="15.75" customHeight="1">
      <c r="A66" s="2"/>
      <c r="B66" s="2"/>
      <c r="C66" s="2"/>
      <c r="D66" s="2"/>
      <c r="E66" s="2"/>
      <c r="F66" s="2"/>
      <c r="G66" s="2"/>
      <c r="H66" s="2"/>
      <c r="I66" s="2"/>
      <c r="J66" s="2"/>
      <c r="K66" s="2"/>
      <c r="L66" s="2"/>
      <c r="M66" s="2"/>
      <c r="O66" s="2"/>
      <c r="P66" s="2"/>
      <c r="Q66" s="2"/>
      <c r="R66" s="2"/>
      <c r="S66" s="2"/>
      <c r="T66" s="2"/>
      <c r="U66" s="2"/>
      <c r="V66" s="2"/>
      <c r="W66" s="2"/>
      <c r="X66" s="2"/>
      <c r="Y66" s="2"/>
      <c r="Z66" s="2"/>
      <c r="AA66" s="2"/>
      <c r="AB66" s="2"/>
      <c r="AC66" s="2"/>
      <c r="AD66" s="2"/>
      <c r="AE66" s="2"/>
      <c r="AF66" s="2"/>
      <c r="AG66" s="2"/>
      <c r="AH66" s="2"/>
      <c r="AI66" s="2"/>
      <c r="AJ66" s="2"/>
    </row>
    <row r="67" ht="15.75" customHeight="1">
      <c r="A67" s="2"/>
      <c r="B67" s="2"/>
      <c r="C67" s="2"/>
      <c r="D67" s="2"/>
      <c r="E67" s="2"/>
      <c r="F67" s="2"/>
      <c r="G67" s="2"/>
      <c r="H67" s="2"/>
      <c r="I67" s="2"/>
      <c r="J67" s="2"/>
      <c r="K67" s="2"/>
      <c r="L67" s="2"/>
      <c r="M67" s="2"/>
      <c r="O67" s="2"/>
      <c r="P67" s="2"/>
      <c r="Q67" s="2"/>
      <c r="R67" s="2"/>
      <c r="S67" s="2"/>
      <c r="T67" s="2"/>
      <c r="U67" s="2"/>
      <c r="V67" s="2"/>
      <c r="W67" s="2"/>
      <c r="X67" s="2"/>
      <c r="Y67" s="2"/>
      <c r="Z67" s="2"/>
      <c r="AA67" s="2"/>
      <c r="AB67" s="2"/>
      <c r="AC67" s="2"/>
      <c r="AD67" s="2"/>
      <c r="AE67" s="2"/>
      <c r="AF67" s="2"/>
      <c r="AG67" s="2"/>
      <c r="AH67" s="2"/>
      <c r="AI67" s="2"/>
      <c r="AJ67" s="2"/>
    </row>
    <row r="68" ht="15.75" customHeight="1">
      <c r="A68" s="2"/>
      <c r="B68" s="2"/>
      <c r="C68" s="2"/>
      <c r="D68" s="2"/>
      <c r="E68" s="2"/>
      <c r="F68" s="2"/>
      <c r="G68" s="2"/>
      <c r="H68" s="2"/>
      <c r="I68" s="2"/>
      <c r="J68" s="2"/>
      <c r="K68" s="2"/>
      <c r="L68" s="2"/>
      <c r="M68" s="2"/>
      <c r="O68" s="2"/>
      <c r="P68" s="2"/>
      <c r="Q68" s="2"/>
      <c r="R68" s="2"/>
      <c r="S68" s="2"/>
      <c r="T68" s="2"/>
      <c r="U68" s="2"/>
      <c r="V68" s="2"/>
      <c r="W68" s="2"/>
      <c r="X68" s="2"/>
      <c r="Y68" s="2"/>
      <c r="Z68" s="2"/>
      <c r="AA68" s="2"/>
      <c r="AB68" s="2"/>
      <c r="AC68" s="2"/>
      <c r="AD68" s="2"/>
      <c r="AE68" s="2"/>
      <c r="AF68" s="2"/>
      <c r="AG68" s="2"/>
      <c r="AH68" s="2"/>
      <c r="AI68" s="2"/>
      <c r="AJ68" s="2"/>
    </row>
    <row r="69" ht="15.75" customHeight="1">
      <c r="A69" s="2"/>
      <c r="B69" s="2"/>
      <c r="C69" s="2"/>
      <c r="D69" s="2"/>
      <c r="E69" s="2"/>
      <c r="F69" s="2"/>
      <c r="G69" s="2"/>
      <c r="H69" s="2"/>
      <c r="I69" s="2"/>
      <c r="J69" s="2"/>
      <c r="K69" s="2"/>
      <c r="L69" s="2"/>
      <c r="M69" s="2"/>
      <c r="O69" s="2"/>
      <c r="P69" s="2"/>
      <c r="Q69" s="2"/>
      <c r="R69" s="2"/>
      <c r="S69" s="2"/>
      <c r="T69" s="2"/>
      <c r="U69" s="2"/>
      <c r="V69" s="2"/>
      <c r="W69" s="2"/>
      <c r="X69" s="2"/>
      <c r="Y69" s="2"/>
      <c r="Z69" s="2"/>
      <c r="AA69" s="2"/>
      <c r="AB69" s="2"/>
      <c r="AC69" s="2"/>
      <c r="AD69" s="2"/>
      <c r="AE69" s="2"/>
      <c r="AF69" s="2"/>
      <c r="AG69" s="2"/>
      <c r="AH69" s="2"/>
      <c r="AI69" s="2"/>
      <c r="AJ69" s="2"/>
    </row>
    <row r="70" ht="15.75" customHeight="1">
      <c r="A70" s="2"/>
      <c r="B70" s="2"/>
      <c r="C70" s="2"/>
      <c r="D70" s="2"/>
      <c r="E70" s="2"/>
      <c r="F70" s="2"/>
      <c r="G70" s="2"/>
      <c r="H70" s="2"/>
      <c r="I70" s="2"/>
      <c r="J70" s="2"/>
      <c r="K70" s="2"/>
      <c r="L70" s="2"/>
      <c r="M70" s="2"/>
      <c r="O70" s="2"/>
      <c r="P70" s="2"/>
      <c r="Q70" s="2"/>
      <c r="R70" s="2"/>
      <c r="S70" s="2"/>
      <c r="T70" s="2"/>
      <c r="U70" s="2"/>
      <c r="V70" s="2"/>
      <c r="W70" s="2"/>
      <c r="X70" s="2"/>
      <c r="Y70" s="2"/>
      <c r="Z70" s="2"/>
      <c r="AA70" s="2"/>
      <c r="AB70" s="2"/>
      <c r="AC70" s="2"/>
      <c r="AD70" s="2"/>
      <c r="AE70" s="2"/>
      <c r="AF70" s="2"/>
      <c r="AG70" s="2"/>
      <c r="AH70" s="2"/>
      <c r="AI70" s="2"/>
      <c r="AJ70" s="2"/>
    </row>
    <row r="71" ht="15.75" customHeight="1">
      <c r="A71" s="2"/>
      <c r="B71" s="2"/>
      <c r="C71" s="2"/>
      <c r="D71" s="2"/>
      <c r="E71" s="2"/>
      <c r="F71" s="2"/>
      <c r="G71" s="2"/>
      <c r="H71" s="2"/>
      <c r="I71" s="2"/>
      <c r="J71" s="2"/>
      <c r="K71" s="2"/>
      <c r="L71" s="2"/>
      <c r="M71" s="2"/>
      <c r="O71" s="2"/>
      <c r="P71" s="2"/>
      <c r="Q71" s="2"/>
      <c r="R71" s="2"/>
      <c r="S71" s="2"/>
      <c r="T71" s="2"/>
      <c r="U71" s="2"/>
      <c r="V71" s="2"/>
      <c r="W71" s="2"/>
      <c r="X71" s="2"/>
      <c r="Y71" s="2"/>
      <c r="Z71" s="2"/>
      <c r="AA71" s="2"/>
      <c r="AB71" s="2"/>
      <c r="AC71" s="2"/>
      <c r="AD71" s="2"/>
      <c r="AE71" s="2"/>
      <c r="AF71" s="2"/>
      <c r="AG71" s="2"/>
      <c r="AH71" s="2"/>
      <c r="AI71" s="2"/>
      <c r="AJ71" s="2"/>
    </row>
    <row r="72" ht="15.75" customHeight="1">
      <c r="A72" s="2"/>
      <c r="B72" s="2"/>
      <c r="C72" s="2"/>
      <c r="D72" s="2"/>
      <c r="E72" s="2"/>
      <c r="F72" s="2"/>
      <c r="G72" s="2"/>
      <c r="H72" s="2"/>
      <c r="I72" s="2"/>
      <c r="J72" s="2"/>
      <c r="K72" s="2"/>
      <c r="L72" s="2"/>
      <c r="M72" s="2"/>
      <c r="O72" s="2"/>
      <c r="P72" s="2"/>
      <c r="Q72" s="2"/>
      <c r="R72" s="2"/>
      <c r="S72" s="2"/>
      <c r="T72" s="2"/>
      <c r="U72" s="2"/>
      <c r="V72" s="2"/>
      <c r="W72" s="2"/>
      <c r="X72" s="2"/>
      <c r="Y72" s="2"/>
      <c r="Z72" s="2"/>
      <c r="AA72" s="2"/>
      <c r="AB72" s="2"/>
      <c r="AC72" s="2"/>
      <c r="AD72" s="2"/>
      <c r="AE72" s="2"/>
      <c r="AF72" s="2"/>
      <c r="AG72" s="2"/>
      <c r="AH72" s="2"/>
      <c r="AI72" s="2"/>
      <c r="AJ72" s="2"/>
    </row>
    <row r="73" ht="15.75" customHeight="1">
      <c r="A73" s="2"/>
      <c r="B73" s="2"/>
      <c r="C73" s="2"/>
      <c r="D73" s="2"/>
      <c r="E73" s="2"/>
      <c r="F73" s="2"/>
      <c r="G73" s="2"/>
      <c r="H73" s="2"/>
      <c r="I73" s="2"/>
      <c r="J73" s="2"/>
      <c r="K73" s="2"/>
      <c r="L73" s="2"/>
      <c r="M73" s="2"/>
      <c r="O73" s="2"/>
      <c r="P73" s="2"/>
      <c r="Q73" s="2"/>
      <c r="R73" s="2"/>
      <c r="S73" s="2"/>
      <c r="T73" s="2"/>
      <c r="U73" s="2"/>
      <c r="V73" s="2"/>
      <c r="W73" s="2"/>
      <c r="X73" s="2"/>
      <c r="Y73" s="2"/>
      <c r="Z73" s="2"/>
      <c r="AA73" s="2"/>
      <c r="AB73" s="2"/>
      <c r="AC73" s="2"/>
      <c r="AD73" s="2"/>
      <c r="AE73" s="2"/>
      <c r="AF73" s="2"/>
      <c r="AG73" s="2"/>
      <c r="AH73" s="2"/>
      <c r="AI73" s="2"/>
      <c r="AJ73" s="2"/>
    </row>
    <row r="74" ht="15.75" customHeight="1">
      <c r="A74" s="2"/>
      <c r="B74" s="2"/>
      <c r="C74" s="2"/>
      <c r="D74" s="2"/>
      <c r="E74" s="2"/>
      <c r="F74" s="2"/>
      <c r="G74" s="2"/>
      <c r="H74" s="2"/>
      <c r="I74" s="2"/>
      <c r="J74" s="2"/>
      <c r="K74" s="2"/>
      <c r="L74" s="2"/>
      <c r="M74" s="2"/>
      <c r="O74" s="2"/>
      <c r="P74" s="2"/>
      <c r="Q74" s="2"/>
      <c r="R74" s="2"/>
      <c r="S74" s="2"/>
      <c r="T74" s="2"/>
      <c r="U74" s="2"/>
      <c r="V74" s="2"/>
      <c r="W74" s="2"/>
      <c r="X74" s="2"/>
      <c r="Y74" s="2"/>
      <c r="Z74" s="2"/>
      <c r="AA74" s="2"/>
      <c r="AB74" s="2"/>
      <c r="AC74" s="2"/>
      <c r="AD74" s="2"/>
      <c r="AE74" s="2"/>
      <c r="AF74" s="2"/>
      <c r="AG74" s="2"/>
      <c r="AH74" s="2"/>
      <c r="AI74" s="2"/>
      <c r="AJ74" s="2"/>
    </row>
    <row r="75" ht="15.75" customHeight="1">
      <c r="A75" s="2"/>
      <c r="B75" s="2"/>
      <c r="C75" s="2"/>
      <c r="D75" s="2"/>
      <c r="E75" s="2"/>
      <c r="F75" s="2"/>
      <c r="G75" s="2"/>
      <c r="H75" s="2"/>
      <c r="I75" s="2"/>
      <c r="J75" s="2"/>
      <c r="K75" s="2"/>
      <c r="L75" s="2"/>
      <c r="M75" s="2"/>
      <c r="O75" s="2"/>
      <c r="P75" s="2"/>
      <c r="Q75" s="2"/>
      <c r="R75" s="2"/>
      <c r="S75" s="2"/>
      <c r="T75" s="2"/>
      <c r="U75" s="2"/>
      <c r="V75" s="2"/>
      <c r="W75" s="2"/>
      <c r="X75" s="2"/>
      <c r="Y75" s="2"/>
      <c r="Z75" s="2"/>
      <c r="AA75" s="2"/>
      <c r="AB75" s="2"/>
      <c r="AC75" s="2"/>
      <c r="AD75" s="2"/>
      <c r="AE75" s="2"/>
      <c r="AF75" s="2"/>
      <c r="AG75" s="2"/>
      <c r="AH75" s="2"/>
      <c r="AI75" s="2"/>
      <c r="AJ75" s="2"/>
    </row>
    <row r="76" ht="15.75" customHeight="1">
      <c r="A76" s="2"/>
      <c r="B76" s="2"/>
      <c r="C76" s="2"/>
      <c r="D76" s="2"/>
      <c r="E76" s="2"/>
      <c r="F76" s="2"/>
      <c r="G76" s="2"/>
      <c r="H76" s="2"/>
      <c r="I76" s="2"/>
      <c r="J76" s="2"/>
      <c r="K76" s="2"/>
      <c r="L76" s="2"/>
      <c r="M76" s="2"/>
      <c r="O76" s="2"/>
      <c r="P76" s="2"/>
      <c r="Q76" s="2"/>
      <c r="R76" s="2"/>
      <c r="S76" s="2"/>
      <c r="T76" s="2"/>
      <c r="U76" s="2"/>
      <c r="V76" s="2"/>
      <c r="W76" s="2"/>
      <c r="X76" s="2"/>
      <c r="Y76" s="2"/>
      <c r="Z76" s="2"/>
      <c r="AA76" s="2"/>
      <c r="AB76" s="2"/>
      <c r="AC76" s="2"/>
      <c r="AD76" s="2"/>
      <c r="AE76" s="2"/>
      <c r="AF76" s="2"/>
      <c r="AG76" s="2"/>
      <c r="AH76" s="2"/>
      <c r="AI76" s="2"/>
      <c r="AJ76" s="2"/>
    </row>
    <row r="77" ht="15.75" customHeight="1">
      <c r="A77" s="2"/>
      <c r="B77" s="2"/>
      <c r="C77" s="2"/>
      <c r="D77" s="2"/>
      <c r="E77" s="2"/>
      <c r="F77" s="2"/>
      <c r="G77" s="2"/>
      <c r="H77" s="2"/>
      <c r="I77" s="2"/>
      <c r="J77" s="2"/>
      <c r="K77" s="2"/>
      <c r="L77" s="2"/>
      <c r="M77" s="2"/>
      <c r="O77" s="2"/>
      <c r="P77" s="2"/>
      <c r="Q77" s="2"/>
      <c r="R77" s="2"/>
      <c r="S77" s="2"/>
      <c r="T77" s="2"/>
      <c r="U77" s="2"/>
      <c r="V77" s="2"/>
      <c r="W77" s="2"/>
      <c r="X77" s="2"/>
      <c r="Y77" s="2"/>
      <c r="Z77" s="2"/>
      <c r="AA77" s="2"/>
      <c r="AB77" s="2"/>
      <c r="AC77" s="2"/>
      <c r="AD77" s="2"/>
      <c r="AE77" s="2"/>
      <c r="AF77" s="2"/>
      <c r="AG77" s="2"/>
      <c r="AH77" s="2"/>
      <c r="AI77" s="2"/>
      <c r="AJ77" s="2"/>
    </row>
    <row r="78" ht="15.75" customHeight="1">
      <c r="A78" s="2"/>
      <c r="B78" s="2"/>
      <c r="C78" s="2"/>
      <c r="D78" s="2"/>
      <c r="E78" s="2"/>
      <c r="F78" s="2"/>
      <c r="G78" s="2"/>
      <c r="H78" s="2"/>
      <c r="I78" s="2"/>
      <c r="J78" s="2"/>
      <c r="K78" s="2"/>
      <c r="L78" s="2"/>
      <c r="M78" s="2"/>
      <c r="O78" s="2"/>
      <c r="P78" s="2"/>
      <c r="Q78" s="2"/>
      <c r="R78" s="2"/>
      <c r="S78" s="2"/>
      <c r="T78" s="2"/>
      <c r="U78" s="2"/>
      <c r="V78" s="2"/>
      <c r="W78" s="2"/>
      <c r="X78" s="2"/>
      <c r="Y78" s="2"/>
      <c r="Z78" s="2"/>
      <c r="AA78" s="2"/>
      <c r="AB78" s="2"/>
      <c r="AC78" s="2"/>
      <c r="AD78" s="2"/>
      <c r="AE78" s="2"/>
      <c r="AF78" s="2"/>
      <c r="AG78" s="2"/>
      <c r="AH78" s="2"/>
      <c r="AI78" s="2"/>
      <c r="AJ78" s="2"/>
    </row>
    <row r="79" ht="15.75" customHeight="1">
      <c r="A79" s="2"/>
      <c r="B79" s="2"/>
      <c r="C79" s="2"/>
      <c r="D79" s="2"/>
      <c r="E79" s="2"/>
      <c r="F79" s="2"/>
      <c r="G79" s="2"/>
      <c r="H79" s="2"/>
      <c r="I79" s="2"/>
      <c r="J79" s="2"/>
      <c r="K79" s="2"/>
      <c r="L79" s="2"/>
      <c r="M79" s="2"/>
      <c r="O79" s="2"/>
      <c r="P79" s="2"/>
      <c r="Q79" s="2"/>
      <c r="R79" s="2"/>
      <c r="S79" s="2"/>
      <c r="T79" s="2"/>
      <c r="U79" s="2"/>
      <c r="V79" s="2"/>
      <c r="W79" s="2"/>
      <c r="X79" s="2"/>
      <c r="Y79" s="2"/>
      <c r="Z79" s="2"/>
      <c r="AA79" s="2"/>
      <c r="AB79" s="2"/>
      <c r="AC79" s="2"/>
      <c r="AD79" s="2"/>
      <c r="AE79" s="2"/>
      <c r="AF79" s="2"/>
      <c r="AG79" s="2"/>
      <c r="AH79" s="2"/>
      <c r="AI79" s="2"/>
      <c r="AJ79" s="2"/>
    </row>
    <row r="80" ht="15.75" customHeight="1">
      <c r="A80" s="2"/>
      <c r="B80" s="2"/>
      <c r="C80" s="2"/>
      <c r="D80" s="2"/>
      <c r="E80" s="2"/>
      <c r="F80" s="2"/>
      <c r="G80" s="2"/>
      <c r="H80" s="2"/>
      <c r="I80" s="2"/>
      <c r="J80" s="2"/>
      <c r="K80" s="2"/>
      <c r="L80" s="2"/>
      <c r="M80" s="2"/>
      <c r="O80" s="2"/>
      <c r="P80" s="2"/>
      <c r="Q80" s="2"/>
      <c r="R80" s="2"/>
      <c r="S80" s="2"/>
      <c r="T80" s="2"/>
      <c r="U80" s="2"/>
      <c r="V80" s="2"/>
      <c r="W80" s="2"/>
      <c r="X80" s="2"/>
      <c r="Y80" s="2"/>
      <c r="Z80" s="2"/>
      <c r="AA80" s="2"/>
      <c r="AB80" s="2"/>
      <c r="AC80" s="2"/>
      <c r="AD80" s="2"/>
      <c r="AE80" s="2"/>
      <c r="AF80" s="2"/>
      <c r="AG80" s="2"/>
      <c r="AH80" s="2"/>
      <c r="AI80" s="2"/>
      <c r="AJ80" s="2"/>
    </row>
    <row r="81" ht="15.75" customHeight="1">
      <c r="A81" s="2"/>
      <c r="B81" s="2"/>
      <c r="C81" s="2"/>
      <c r="D81" s="2"/>
      <c r="E81" s="2"/>
      <c r="F81" s="2"/>
      <c r="G81" s="2"/>
      <c r="H81" s="2"/>
      <c r="I81" s="2"/>
      <c r="J81" s="2"/>
      <c r="K81" s="2"/>
      <c r="L81" s="2"/>
      <c r="M81" s="2"/>
      <c r="O81" s="2"/>
      <c r="P81" s="2"/>
      <c r="Q81" s="2"/>
      <c r="R81" s="2"/>
      <c r="S81" s="2"/>
      <c r="T81" s="2"/>
      <c r="U81" s="2"/>
      <c r="V81" s="2"/>
      <c r="W81" s="2"/>
      <c r="X81" s="2"/>
      <c r="Y81" s="2"/>
      <c r="Z81" s="2"/>
      <c r="AA81" s="2"/>
      <c r="AB81" s="2"/>
      <c r="AC81" s="2"/>
      <c r="AD81" s="2"/>
      <c r="AE81" s="2"/>
      <c r="AF81" s="2"/>
      <c r="AG81" s="2"/>
      <c r="AH81" s="2"/>
      <c r="AI81" s="2"/>
      <c r="AJ81" s="2"/>
    </row>
    <row r="82" ht="15.75" customHeight="1">
      <c r="A82" s="2"/>
      <c r="B82" s="2"/>
      <c r="C82" s="2"/>
      <c r="D82" s="2"/>
      <c r="E82" s="2"/>
      <c r="F82" s="2"/>
      <c r="G82" s="2"/>
      <c r="H82" s="2"/>
      <c r="I82" s="2"/>
      <c r="J82" s="2"/>
      <c r="K82" s="2"/>
      <c r="L82" s="2"/>
      <c r="M82" s="2"/>
      <c r="O82" s="2"/>
      <c r="P82" s="2"/>
      <c r="Q82" s="2"/>
      <c r="R82" s="2"/>
      <c r="S82" s="2"/>
      <c r="T82" s="2"/>
      <c r="U82" s="2"/>
      <c r="V82" s="2"/>
      <c r="W82" s="2"/>
      <c r="X82" s="2"/>
      <c r="Y82" s="2"/>
      <c r="Z82" s="2"/>
      <c r="AA82" s="2"/>
      <c r="AB82" s="2"/>
      <c r="AC82" s="2"/>
      <c r="AD82" s="2"/>
      <c r="AE82" s="2"/>
      <c r="AF82" s="2"/>
      <c r="AG82" s="2"/>
      <c r="AH82" s="2"/>
      <c r="AI82" s="2"/>
      <c r="AJ82" s="2"/>
    </row>
    <row r="83" ht="15.75" customHeight="1">
      <c r="A83" s="2"/>
      <c r="B83" s="2"/>
      <c r="C83" s="2"/>
      <c r="D83" s="2"/>
      <c r="E83" s="2"/>
      <c r="F83" s="2"/>
      <c r="G83" s="2"/>
      <c r="H83" s="2"/>
      <c r="I83" s="2"/>
      <c r="J83" s="2"/>
      <c r="K83" s="2"/>
      <c r="L83" s="2"/>
      <c r="M83" s="2"/>
      <c r="O83" s="2"/>
      <c r="P83" s="2"/>
      <c r="Q83" s="2"/>
      <c r="R83" s="2"/>
      <c r="S83" s="2"/>
      <c r="T83" s="2"/>
      <c r="U83" s="2"/>
      <c r="V83" s="2"/>
      <c r="W83" s="2"/>
      <c r="X83" s="2"/>
      <c r="Y83" s="2"/>
      <c r="Z83" s="2"/>
      <c r="AA83" s="2"/>
      <c r="AB83" s="2"/>
      <c r="AC83" s="2"/>
      <c r="AD83" s="2"/>
      <c r="AE83" s="2"/>
      <c r="AF83" s="2"/>
      <c r="AG83" s="2"/>
      <c r="AH83" s="2"/>
      <c r="AI83" s="2"/>
      <c r="AJ83" s="2"/>
    </row>
    <row r="84" ht="15.75" customHeight="1">
      <c r="A84" s="2"/>
      <c r="B84" s="2"/>
      <c r="C84" s="2"/>
      <c r="D84" s="2"/>
      <c r="E84" s="2"/>
      <c r="F84" s="2"/>
      <c r="G84" s="2"/>
      <c r="H84" s="2"/>
      <c r="I84" s="2"/>
      <c r="J84" s="2"/>
      <c r="K84" s="2"/>
      <c r="L84" s="2"/>
      <c r="M84" s="2"/>
      <c r="O84" s="2"/>
      <c r="P84" s="2"/>
      <c r="Q84" s="2"/>
      <c r="R84" s="2"/>
      <c r="S84" s="2"/>
      <c r="T84" s="2"/>
      <c r="U84" s="2"/>
      <c r="V84" s="2"/>
      <c r="W84" s="2"/>
      <c r="X84" s="2"/>
      <c r="Y84" s="2"/>
      <c r="Z84" s="2"/>
      <c r="AA84" s="2"/>
      <c r="AB84" s="2"/>
      <c r="AC84" s="2"/>
      <c r="AD84" s="2"/>
      <c r="AE84" s="2"/>
      <c r="AF84" s="2"/>
      <c r="AG84" s="2"/>
      <c r="AH84" s="2"/>
      <c r="AI84" s="2"/>
      <c r="AJ84" s="2"/>
    </row>
    <row r="85" ht="15.75" customHeight="1">
      <c r="A85" s="2"/>
      <c r="B85" s="2"/>
      <c r="C85" s="2"/>
      <c r="D85" s="2"/>
      <c r="E85" s="2"/>
      <c r="F85" s="2"/>
      <c r="G85" s="2"/>
      <c r="H85" s="2"/>
      <c r="I85" s="2"/>
      <c r="J85" s="2"/>
      <c r="K85" s="2"/>
      <c r="L85" s="2"/>
      <c r="M85" s="2"/>
      <c r="O85" s="2"/>
      <c r="P85" s="2"/>
      <c r="Q85" s="2"/>
      <c r="R85" s="2"/>
      <c r="S85" s="2"/>
      <c r="T85" s="2"/>
      <c r="U85" s="2"/>
      <c r="V85" s="2"/>
      <c r="W85" s="2"/>
      <c r="X85" s="2"/>
      <c r="Y85" s="2"/>
      <c r="Z85" s="2"/>
      <c r="AA85" s="2"/>
      <c r="AB85" s="2"/>
      <c r="AC85" s="2"/>
      <c r="AD85" s="2"/>
      <c r="AE85" s="2"/>
      <c r="AF85" s="2"/>
      <c r="AG85" s="2"/>
      <c r="AH85" s="2"/>
      <c r="AI85" s="2"/>
      <c r="AJ85" s="2"/>
    </row>
    <row r="86" ht="15.75" customHeight="1">
      <c r="A86" s="2"/>
      <c r="B86" s="2"/>
      <c r="C86" s="2"/>
      <c r="D86" s="2"/>
      <c r="E86" s="2"/>
      <c r="F86" s="2"/>
      <c r="G86" s="2"/>
      <c r="H86" s="2"/>
      <c r="I86" s="2"/>
      <c r="J86" s="2"/>
      <c r="K86" s="2"/>
      <c r="L86" s="2"/>
      <c r="M86" s="2"/>
      <c r="O86" s="2"/>
      <c r="P86" s="2"/>
      <c r="Q86" s="2"/>
      <c r="R86" s="2"/>
      <c r="S86" s="2"/>
      <c r="T86" s="2"/>
      <c r="U86" s="2"/>
      <c r="V86" s="2"/>
      <c r="W86" s="2"/>
      <c r="X86" s="2"/>
      <c r="Y86" s="2"/>
      <c r="Z86" s="2"/>
      <c r="AA86" s="2"/>
      <c r="AB86" s="2"/>
      <c r="AC86" s="2"/>
      <c r="AD86" s="2"/>
      <c r="AE86" s="2"/>
      <c r="AF86" s="2"/>
      <c r="AG86" s="2"/>
      <c r="AH86" s="2"/>
      <c r="AI86" s="2"/>
      <c r="AJ86" s="2"/>
    </row>
    <row r="87" ht="15.75" customHeight="1">
      <c r="A87" s="2"/>
      <c r="B87" s="2"/>
      <c r="C87" s="2"/>
      <c r="D87" s="2"/>
      <c r="E87" s="2"/>
      <c r="F87" s="2"/>
      <c r="G87" s="2"/>
      <c r="H87" s="2"/>
      <c r="I87" s="2"/>
      <c r="J87" s="2"/>
      <c r="K87" s="2"/>
      <c r="L87" s="2"/>
      <c r="M87" s="2"/>
      <c r="O87" s="2"/>
      <c r="P87" s="2"/>
      <c r="Q87" s="2"/>
      <c r="R87" s="2"/>
      <c r="S87" s="2"/>
      <c r="T87" s="2"/>
      <c r="U87" s="2"/>
      <c r="V87" s="2"/>
      <c r="W87" s="2"/>
      <c r="X87" s="2"/>
      <c r="Y87" s="2"/>
      <c r="Z87" s="2"/>
      <c r="AA87" s="2"/>
      <c r="AB87" s="2"/>
      <c r="AC87" s="2"/>
      <c r="AD87" s="2"/>
      <c r="AE87" s="2"/>
      <c r="AF87" s="2"/>
      <c r="AG87" s="2"/>
      <c r="AH87" s="2"/>
      <c r="AI87" s="2"/>
      <c r="AJ87" s="2"/>
    </row>
    <row r="88" ht="15.75" customHeight="1">
      <c r="A88" s="2"/>
      <c r="B88" s="2"/>
      <c r="C88" s="2"/>
      <c r="D88" s="2"/>
      <c r="E88" s="2"/>
      <c r="F88" s="2"/>
      <c r="G88" s="2"/>
      <c r="H88" s="2"/>
      <c r="I88" s="2"/>
      <c r="J88" s="2"/>
      <c r="K88" s="2"/>
      <c r="L88" s="2"/>
      <c r="M88" s="2"/>
      <c r="O88" s="2"/>
      <c r="P88" s="2"/>
      <c r="Q88" s="2"/>
      <c r="R88" s="2"/>
      <c r="S88" s="2"/>
      <c r="T88" s="2"/>
      <c r="U88" s="2"/>
      <c r="V88" s="2"/>
      <c r="W88" s="2"/>
      <c r="X88" s="2"/>
      <c r="Y88" s="2"/>
      <c r="Z88" s="2"/>
      <c r="AA88" s="2"/>
      <c r="AB88" s="2"/>
      <c r="AC88" s="2"/>
      <c r="AD88" s="2"/>
      <c r="AE88" s="2"/>
      <c r="AF88" s="2"/>
      <c r="AG88" s="2"/>
      <c r="AH88" s="2"/>
      <c r="AI88" s="2"/>
      <c r="AJ88" s="2"/>
    </row>
    <row r="89" ht="15.75" customHeight="1">
      <c r="A89" s="2"/>
      <c r="B89" s="2"/>
      <c r="C89" s="2"/>
      <c r="D89" s="2"/>
      <c r="E89" s="2"/>
      <c r="F89" s="2"/>
      <c r="G89" s="2"/>
      <c r="H89" s="2"/>
      <c r="I89" s="2"/>
      <c r="J89" s="2"/>
      <c r="K89" s="2"/>
      <c r="L89" s="2"/>
      <c r="M89" s="2"/>
      <c r="O89" s="2"/>
      <c r="P89" s="2"/>
      <c r="Q89" s="2"/>
      <c r="R89" s="2"/>
      <c r="S89" s="2"/>
      <c r="T89" s="2"/>
      <c r="U89" s="2"/>
      <c r="V89" s="2"/>
      <c r="W89" s="2"/>
      <c r="X89" s="2"/>
      <c r="Y89" s="2"/>
      <c r="Z89" s="2"/>
      <c r="AA89" s="2"/>
      <c r="AB89" s="2"/>
      <c r="AC89" s="2"/>
      <c r="AD89" s="2"/>
      <c r="AE89" s="2"/>
      <c r="AF89" s="2"/>
      <c r="AG89" s="2"/>
      <c r="AH89" s="2"/>
      <c r="AI89" s="2"/>
      <c r="AJ89" s="2"/>
    </row>
    <row r="90" ht="15.75" customHeight="1">
      <c r="A90" s="2"/>
      <c r="B90" s="2"/>
      <c r="C90" s="2"/>
      <c r="D90" s="2"/>
      <c r="E90" s="2"/>
      <c r="F90" s="2"/>
      <c r="G90" s="2"/>
      <c r="H90" s="2"/>
      <c r="I90" s="2"/>
      <c r="J90" s="2"/>
      <c r="K90" s="2"/>
      <c r="L90" s="2"/>
      <c r="M90" s="2"/>
      <c r="O90" s="2"/>
      <c r="P90" s="2"/>
      <c r="Q90" s="2"/>
      <c r="R90" s="2"/>
      <c r="S90" s="2"/>
      <c r="T90" s="2"/>
      <c r="U90" s="2"/>
      <c r="V90" s="2"/>
      <c r="W90" s="2"/>
      <c r="X90" s="2"/>
      <c r="Y90" s="2"/>
      <c r="Z90" s="2"/>
      <c r="AA90" s="2"/>
      <c r="AB90" s="2"/>
      <c r="AC90" s="2"/>
      <c r="AD90" s="2"/>
      <c r="AE90" s="2"/>
      <c r="AF90" s="2"/>
      <c r="AG90" s="2"/>
      <c r="AH90" s="2"/>
      <c r="AI90" s="2"/>
      <c r="AJ90" s="2"/>
    </row>
    <row r="91" ht="15.75" customHeight="1">
      <c r="A91" s="2"/>
      <c r="B91" s="2"/>
      <c r="C91" s="2"/>
      <c r="D91" s="2"/>
      <c r="E91" s="2"/>
      <c r="F91" s="2"/>
      <c r="G91" s="2"/>
      <c r="H91" s="2"/>
      <c r="I91" s="2"/>
      <c r="J91" s="2"/>
      <c r="K91" s="2"/>
      <c r="L91" s="2"/>
      <c r="M91" s="2"/>
      <c r="O91" s="2"/>
      <c r="P91" s="2"/>
      <c r="Q91" s="2"/>
      <c r="R91" s="2"/>
      <c r="S91" s="2"/>
      <c r="T91" s="2"/>
      <c r="U91" s="2"/>
      <c r="V91" s="2"/>
      <c r="W91" s="2"/>
      <c r="X91" s="2"/>
      <c r="Y91" s="2"/>
      <c r="Z91" s="2"/>
      <c r="AA91" s="2"/>
      <c r="AB91" s="2"/>
      <c r="AC91" s="2"/>
      <c r="AD91" s="2"/>
      <c r="AE91" s="2"/>
      <c r="AF91" s="2"/>
      <c r="AG91" s="2"/>
      <c r="AH91" s="2"/>
      <c r="AI91" s="2"/>
      <c r="AJ91" s="2"/>
    </row>
    <row r="92" ht="15.75" customHeight="1">
      <c r="A92" s="2"/>
      <c r="B92" s="2"/>
      <c r="C92" s="2"/>
      <c r="D92" s="2"/>
      <c r="E92" s="2"/>
      <c r="F92" s="2"/>
      <c r="G92" s="2"/>
      <c r="H92" s="2"/>
      <c r="I92" s="2"/>
      <c r="J92" s="2"/>
      <c r="K92" s="2"/>
      <c r="L92" s="2"/>
      <c r="M92" s="2"/>
      <c r="O92" s="2"/>
      <c r="P92" s="2"/>
      <c r="Q92" s="2"/>
      <c r="R92" s="2"/>
      <c r="S92" s="2"/>
      <c r="T92" s="2"/>
      <c r="U92" s="2"/>
      <c r="V92" s="2"/>
      <c r="W92" s="2"/>
      <c r="X92" s="2"/>
      <c r="Y92" s="2"/>
      <c r="Z92" s="2"/>
      <c r="AA92" s="2"/>
      <c r="AB92" s="2"/>
      <c r="AC92" s="2"/>
      <c r="AD92" s="2"/>
      <c r="AE92" s="2"/>
      <c r="AF92" s="2"/>
      <c r="AG92" s="2"/>
      <c r="AH92" s="2"/>
      <c r="AI92" s="2"/>
      <c r="AJ92" s="2"/>
    </row>
    <row r="93" ht="15.75" customHeight="1">
      <c r="A93" s="2"/>
      <c r="B93" s="2"/>
      <c r="C93" s="2"/>
      <c r="D93" s="2"/>
      <c r="E93" s="2"/>
      <c r="F93" s="2"/>
      <c r="G93" s="2"/>
      <c r="H93" s="2"/>
      <c r="I93" s="2"/>
      <c r="J93" s="2"/>
      <c r="K93" s="2"/>
      <c r="L93" s="2"/>
      <c r="M93" s="2"/>
      <c r="O93" s="2"/>
      <c r="P93" s="2"/>
      <c r="Q93" s="2"/>
      <c r="R93" s="2"/>
      <c r="S93" s="2"/>
      <c r="T93" s="2"/>
      <c r="U93" s="2"/>
      <c r="V93" s="2"/>
      <c r="W93" s="2"/>
      <c r="X93" s="2"/>
      <c r="Y93" s="2"/>
      <c r="Z93" s="2"/>
      <c r="AA93" s="2"/>
      <c r="AB93" s="2"/>
      <c r="AC93" s="2"/>
      <c r="AD93" s="2"/>
      <c r="AE93" s="2"/>
      <c r="AF93" s="2"/>
      <c r="AG93" s="2"/>
      <c r="AH93" s="2"/>
      <c r="AI93" s="2"/>
      <c r="AJ93" s="2"/>
    </row>
    <row r="94" ht="15.75" customHeight="1">
      <c r="A94" s="2"/>
      <c r="B94" s="2"/>
      <c r="C94" s="2"/>
      <c r="D94" s="2"/>
      <c r="E94" s="2"/>
      <c r="F94" s="2"/>
      <c r="G94" s="2"/>
      <c r="H94" s="2"/>
      <c r="I94" s="2"/>
      <c r="J94" s="2"/>
      <c r="K94" s="2"/>
      <c r="L94" s="2"/>
      <c r="M94" s="2"/>
      <c r="O94" s="2"/>
      <c r="P94" s="2"/>
      <c r="Q94" s="2"/>
      <c r="R94" s="2"/>
      <c r="S94" s="2"/>
      <c r="T94" s="2"/>
      <c r="U94" s="2"/>
      <c r="V94" s="2"/>
      <c r="W94" s="2"/>
      <c r="X94" s="2"/>
      <c r="Y94" s="2"/>
      <c r="Z94" s="2"/>
      <c r="AA94" s="2"/>
      <c r="AB94" s="2"/>
      <c r="AC94" s="2"/>
      <c r="AD94" s="2"/>
      <c r="AE94" s="2"/>
      <c r="AF94" s="2"/>
      <c r="AG94" s="2"/>
      <c r="AH94" s="2"/>
      <c r="AI94" s="2"/>
      <c r="AJ94" s="2"/>
    </row>
    <row r="95" ht="15.75" customHeight="1">
      <c r="A95" s="2"/>
      <c r="B95" s="2"/>
      <c r="C95" s="2"/>
      <c r="D95" s="2"/>
      <c r="E95" s="2"/>
      <c r="F95" s="2"/>
      <c r="G95" s="2"/>
      <c r="H95" s="2"/>
      <c r="I95" s="2"/>
      <c r="J95" s="2"/>
      <c r="K95" s="2"/>
      <c r="L95" s="2"/>
      <c r="M95" s="2"/>
      <c r="O95" s="2"/>
      <c r="P95" s="2"/>
      <c r="Q95" s="2"/>
      <c r="R95" s="2"/>
      <c r="S95" s="2"/>
      <c r="T95" s="2"/>
      <c r="U95" s="2"/>
      <c r="V95" s="2"/>
      <c r="W95" s="2"/>
      <c r="X95" s="2"/>
      <c r="Y95" s="2"/>
      <c r="Z95" s="2"/>
      <c r="AA95" s="2"/>
      <c r="AB95" s="2"/>
      <c r="AC95" s="2"/>
      <c r="AD95" s="2"/>
      <c r="AE95" s="2"/>
      <c r="AF95" s="2"/>
      <c r="AG95" s="2"/>
      <c r="AH95" s="2"/>
      <c r="AI95" s="2"/>
      <c r="AJ95" s="2"/>
    </row>
    <row r="96" ht="15.75" customHeight="1">
      <c r="A96" s="2"/>
      <c r="B96" s="2"/>
      <c r="C96" s="2"/>
      <c r="D96" s="2"/>
      <c r="E96" s="2"/>
      <c r="F96" s="2"/>
      <c r="G96" s="2"/>
      <c r="H96" s="2"/>
      <c r="I96" s="2"/>
      <c r="J96" s="2"/>
      <c r="K96" s="2"/>
      <c r="L96" s="2"/>
      <c r="M96" s="2"/>
      <c r="O96" s="2"/>
      <c r="P96" s="2"/>
      <c r="Q96" s="2"/>
      <c r="R96" s="2"/>
      <c r="S96" s="2"/>
      <c r="T96" s="2"/>
      <c r="U96" s="2"/>
      <c r="V96" s="2"/>
      <c r="W96" s="2"/>
      <c r="X96" s="2"/>
      <c r="Y96" s="2"/>
      <c r="Z96" s="2"/>
      <c r="AA96" s="2"/>
      <c r="AB96" s="2"/>
      <c r="AC96" s="2"/>
      <c r="AD96" s="2"/>
      <c r="AE96" s="2"/>
      <c r="AF96" s="2"/>
      <c r="AG96" s="2"/>
      <c r="AH96" s="2"/>
      <c r="AI96" s="2"/>
      <c r="AJ96" s="2"/>
    </row>
    <row r="97" ht="15.75" customHeight="1">
      <c r="A97" s="2"/>
      <c r="B97" s="2"/>
      <c r="C97" s="2"/>
      <c r="D97" s="2"/>
      <c r="E97" s="2"/>
      <c r="F97" s="2"/>
      <c r="G97" s="2"/>
      <c r="H97" s="2"/>
      <c r="I97" s="2"/>
      <c r="J97" s="2"/>
      <c r="K97" s="2"/>
      <c r="L97" s="2"/>
      <c r="M97" s="2"/>
      <c r="O97" s="2"/>
      <c r="P97" s="2"/>
      <c r="Q97" s="2"/>
      <c r="R97" s="2"/>
      <c r="S97" s="2"/>
      <c r="T97" s="2"/>
      <c r="U97" s="2"/>
      <c r="V97" s="2"/>
      <c r="W97" s="2"/>
      <c r="X97" s="2"/>
      <c r="Y97" s="2"/>
      <c r="Z97" s="2"/>
      <c r="AA97" s="2"/>
      <c r="AB97" s="2"/>
      <c r="AC97" s="2"/>
      <c r="AD97" s="2"/>
      <c r="AE97" s="2"/>
      <c r="AF97" s="2"/>
      <c r="AG97" s="2"/>
      <c r="AH97" s="2"/>
      <c r="AI97" s="2"/>
      <c r="AJ97" s="2"/>
    </row>
    <row r="98" ht="15.75" customHeight="1">
      <c r="A98" s="2"/>
      <c r="B98" s="2"/>
      <c r="C98" s="2"/>
      <c r="D98" s="2"/>
      <c r="E98" s="2"/>
      <c r="F98" s="2"/>
      <c r="G98" s="2"/>
      <c r="H98" s="2"/>
      <c r="I98" s="2"/>
      <c r="J98" s="2"/>
      <c r="K98" s="2"/>
      <c r="L98" s="2"/>
      <c r="M98" s="2"/>
      <c r="O98" s="2"/>
      <c r="P98" s="2"/>
      <c r="Q98" s="2"/>
      <c r="R98" s="2"/>
      <c r="S98" s="2"/>
      <c r="T98" s="2"/>
      <c r="U98" s="2"/>
      <c r="V98" s="2"/>
      <c r="W98" s="2"/>
      <c r="X98" s="2"/>
      <c r="Y98" s="2"/>
      <c r="Z98" s="2"/>
      <c r="AA98" s="2"/>
      <c r="AB98" s="2"/>
      <c r="AC98" s="2"/>
      <c r="AD98" s="2"/>
      <c r="AE98" s="2"/>
      <c r="AF98" s="2"/>
      <c r="AG98" s="2"/>
      <c r="AH98" s="2"/>
      <c r="AI98" s="2"/>
      <c r="AJ98" s="2"/>
    </row>
    <row r="99" ht="15.75" customHeight="1">
      <c r="A99" s="2"/>
      <c r="B99" s="2"/>
      <c r="C99" s="2"/>
      <c r="D99" s="2"/>
      <c r="E99" s="2"/>
      <c r="F99" s="2"/>
      <c r="G99" s="2"/>
      <c r="H99" s="2"/>
      <c r="I99" s="2"/>
      <c r="J99" s="2"/>
      <c r="K99" s="2"/>
      <c r="L99" s="2"/>
      <c r="M99" s="2"/>
      <c r="O99" s="2"/>
      <c r="P99" s="2"/>
      <c r="Q99" s="2"/>
      <c r="R99" s="2"/>
      <c r="S99" s="2"/>
      <c r="T99" s="2"/>
      <c r="U99" s="2"/>
      <c r="V99" s="2"/>
      <c r="W99" s="2"/>
      <c r="X99" s="2"/>
      <c r="Y99" s="2"/>
      <c r="Z99" s="2"/>
      <c r="AA99" s="2"/>
      <c r="AB99" s="2"/>
      <c r="AC99" s="2"/>
      <c r="AD99" s="2"/>
      <c r="AE99" s="2"/>
      <c r="AF99" s="2"/>
      <c r="AG99" s="2"/>
      <c r="AH99" s="2"/>
      <c r="AI99" s="2"/>
      <c r="AJ99" s="2"/>
    </row>
    <row r="100" ht="15.75" customHeight="1">
      <c r="A100" s="2"/>
      <c r="B100" s="2"/>
      <c r="C100" s="2"/>
      <c r="D100" s="2"/>
      <c r="E100" s="2"/>
      <c r="F100" s="2"/>
      <c r="G100" s="2"/>
      <c r="H100" s="2"/>
      <c r="I100" s="2"/>
      <c r="J100" s="2"/>
      <c r="K100" s="2"/>
      <c r="L100" s="2"/>
      <c r="M100" s="2"/>
      <c r="O100" s="2"/>
      <c r="P100" s="2"/>
      <c r="Q100" s="2"/>
      <c r="R100" s="2"/>
      <c r="S100" s="2"/>
      <c r="T100" s="2"/>
      <c r="U100" s="2"/>
      <c r="V100" s="2"/>
      <c r="W100" s="2"/>
      <c r="X100" s="2"/>
      <c r="Y100" s="2"/>
      <c r="Z100" s="2"/>
      <c r="AA100" s="2"/>
      <c r="AB100" s="2"/>
      <c r="AC100" s="2"/>
      <c r="AD100" s="2"/>
      <c r="AE100" s="2"/>
      <c r="AF100" s="2"/>
      <c r="AG100" s="2"/>
      <c r="AH100" s="2"/>
      <c r="AI100" s="2"/>
      <c r="AJ100" s="2"/>
    </row>
    <row r="101" ht="15.75" customHeight="1">
      <c r="A101" s="2"/>
      <c r="B101" s="2"/>
      <c r="C101" s="2"/>
      <c r="D101" s="2"/>
      <c r="E101" s="2"/>
      <c r="F101" s="2"/>
      <c r="G101" s="2"/>
      <c r="H101" s="2"/>
      <c r="I101" s="2"/>
      <c r="J101" s="2"/>
      <c r="K101" s="2"/>
      <c r="L101" s="2"/>
      <c r="M101" s="2"/>
      <c r="O101" s="2"/>
      <c r="P101" s="2"/>
      <c r="Q101" s="2"/>
      <c r="R101" s="2"/>
      <c r="S101" s="2"/>
      <c r="T101" s="2"/>
      <c r="U101" s="2"/>
      <c r="V101" s="2"/>
      <c r="W101" s="2"/>
      <c r="X101" s="2"/>
      <c r="Y101" s="2"/>
      <c r="Z101" s="2"/>
      <c r="AA101" s="2"/>
      <c r="AB101" s="2"/>
      <c r="AC101" s="2"/>
      <c r="AD101" s="2"/>
      <c r="AE101" s="2"/>
      <c r="AF101" s="2"/>
      <c r="AG101" s="2"/>
      <c r="AH101" s="2"/>
      <c r="AI101" s="2"/>
      <c r="AJ101" s="2"/>
    </row>
    <row r="102" ht="15.75" customHeight="1">
      <c r="A102" s="2"/>
      <c r="B102" s="2"/>
      <c r="C102" s="2"/>
      <c r="D102" s="2"/>
      <c r="E102" s="2"/>
      <c r="F102" s="2"/>
      <c r="G102" s="2"/>
      <c r="H102" s="2"/>
      <c r="I102" s="2"/>
      <c r="J102" s="2"/>
      <c r="K102" s="2"/>
      <c r="L102" s="2"/>
      <c r="M102" s="2"/>
      <c r="O102" s="2"/>
      <c r="P102" s="2"/>
      <c r="Q102" s="2"/>
      <c r="R102" s="2"/>
      <c r="S102" s="2"/>
      <c r="T102" s="2"/>
      <c r="U102" s="2"/>
      <c r="V102" s="2"/>
      <c r="W102" s="2"/>
      <c r="X102" s="2"/>
      <c r="Y102" s="2"/>
      <c r="Z102" s="2"/>
      <c r="AA102" s="2"/>
      <c r="AB102" s="2"/>
      <c r="AC102" s="2"/>
      <c r="AD102" s="2"/>
      <c r="AE102" s="2"/>
      <c r="AF102" s="2"/>
      <c r="AG102" s="2"/>
      <c r="AH102" s="2"/>
      <c r="AI102" s="2"/>
      <c r="AJ102" s="2"/>
    </row>
    <row r="103" ht="15.75" customHeight="1">
      <c r="A103" s="2"/>
      <c r="B103" s="2"/>
      <c r="C103" s="2"/>
      <c r="D103" s="2"/>
      <c r="E103" s="2"/>
      <c r="F103" s="2"/>
      <c r="G103" s="2"/>
      <c r="H103" s="2"/>
      <c r="I103" s="2"/>
      <c r="J103" s="2"/>
      <c r="K103" s="2"/>
      <c r="L103" s="2"/>
      <c r="M103" s="2"/>
      <c r="O103" s="2"/>
      <c r="P103" s="2"/>
      <c r="Q103" s="2"/>
      <c r="R103" s="2"/>
      <c r="S103" s="2"/>
      <c r="T103" s="2"/>
      <c r="U103" s="2"/>
      <c r="V103" s="2"/>
      <c r="W103" s="2"/>
      <c r="X103" s="2"/>
      <c r="Y103" s="2"/>
      <c r="Z103" s="2"/>
      <c r="AA103" s="2"/>
      <c r="AB103" s="2"/>
      <c r="AC103" s="2"/>
      <c r="AD103" s="2"/>
      <c r="AE103" s="2"/>
      <c r="AF103" s="2"/>
      <c r="AG103" s="2"/>
      <c r="AH103" s="2"/>
      <c r="AI103" s="2"/>
      <c r="AJ103" s="2"/>
    </row>
    <row r="104" ht="15.75" customHeight="1">
      <c r="A104" s="2"/>
      <c r="B104" s="2"/>
      <c r="C104" s="2"/>
      <c r="D104" s="2"/>
      <c r="E104" s="2"/>
      <c r="F104" s="2"/>
      <c r="G104" s="2"/>
      <c r="H104" s="2"/>
      <c r="I104" s="2"/>
      <c r="J104" s="2"/>
      <c r="K104" s="2"/>
      <c r="L104" s="2"/>
      <c r="M104" s="2"/>
      <c r="O104" s="2"/>
      <c r="P104" s="2"/>
      <c r="Q104" s="2"/>
      <c r="R104" s="2"/>
      <c r="S104" s="2"/>
      <c r="T104" s="2"/>
      <c r="U104" s="2"/>
      <c r="V104" s="2"/>
      <c r="W104" s="2"/>
      <c r="X104" s="2"/>
      <c r="Y104" s="2"/>
      <c r="Z104" s="2"/>
      <c r="AA104" s="2"/>
      <c r="AB104" s="2"/>
      <c r="AC104" s="2"/>
      <c r="AD104" s="2"/>
      <c r="AE104" s="2"/>
      <c r="AF104" s="2"/>
      <c r="AG104" s="2"/>
      <c r="AH104" s="2"/>
      <c r="AI104" s="2"/>
      <c r="AJ104" s="2"/>
    </row>
    <row r="105" ht="15.75" customHeight="1">
      <c r="A105" s="2"/>
      <c r="B105" s="2"/>
      <c r="C105" s="2"/>
      <c r="D105" s="2"/>
      <c r="E105" s="2"/>
      <c r="F105" s="2"/>
      <c r="G105" s="2"/>
      <c r="H105" s="2"/>
      <c r="I105" s="2"/>
      <c r="J105" s="2"/>
      <c r="K105" s="2"/>
      <c r="L105" s="2"/>
      <c r="M105" s="2"/>
      <c r="O105" s="2"/>
      <c r="P105" s="2"/>
      <c r="Q105" s="2"/>
      <c r="R105" s="2"/>
      <c r="S105" s="2"/>
      <c r="T105" s="2"/>
      <c r="U105" s="2"/>
      <c r="V105" s="2"/>
      <c r="W105" s="2"/>
      <c r="X105" s="2"/>
      <c r="Y105" s="2"/>
      <c r="Z105" s="2"/>
      <c r="AA105" s="2"/>
      <c r="AB105" s="2"/>
      <c r="AC105" s="2"/>
      <c r="AD105" s="2"/>
      <c r="AE105" s="2"/>
      <c r="AF105" s="2"/>
      <c r="AG105" s="2"/>
      <c r="AH105" s="2"/>
      <c r="AI105" s="2"/>
      <c r="AJ105" s="2"/>
    </row>
    <row r="106" ht="15.75" customHeight="1">
      <c r="A106" s="2"/>
      <c r="B106" s="2"/>
      <c r="C106" s="2"/>
      <c r="D106" s="2"/>
      <c r="E106" s="2"/>
      <c r="F106" s="2"/>
      <c r="G106" s="2"/>
      <c r="H106" s="2"/>
      <c r="I106" s="2"/>
      <c r="J106" s="2"/>
      <c r="K106" s="2"/>
      <c r="L106" s="2"/>
      <c r="M106" s="2"/>
      <c r="O106" s="2"/>
      <c r="P106" s="2"/>
      <c r="Q106" s="2"/>
      <c r="R106" s="2"/>
      <c r="S106" s="2"/>
      <c r="T106" s="2"/>
      <c r="U106" s="2"/>
      <c r="V106" s="2"/>
      <c r="W106" s="2"/>
      <c r="X106" s="2"/>
      <c r="Y106" s="2"/>
      <c r="Z106" s="2"/>
      <c r="AA106" s="2"/>
      <c r="AB106" s="2"/>
      <c r="AC106" s="2"/>
      <c r="AD106" s="2"/>
      <c r="AE106" s="2"/>
      <c r="AF106" s="2"/>
      <c r="AG106" s="2"/>
      <c r="AH106" s="2"/>
      <c r="AI106" s="2"/>
      <c r="AJ106" s="2"/>
    </row>
    <row r="107" ht="15.75" customHeight="1">
      <c r="A107" s="2"/>
      <c r="B107" s="2"/>
      <c r="C107" s="2"/>
      <c r="D107" s="2"/>
      <c r="E107" s="2"/>
      <c r="F107" s="2"/>
      <c r="G107" s="2"/>
      <c r="H107" s="2"/>
      <c r="I107" s="2"/>
      <c r="J107" s="2"/>
      <c r="K107" s="2"/>
      <c r="L107" s="2"/>
      <c r="M107" s="2"/>
      <c r="O107" s="2"/>
      <c r="P107" s="2"/>
      <c r="Q107" s="2"/>
      <c r="R107" s="2"/>
      <c r="S107" s="2"/>
      <c r="T107" s="2"/>
      <c r="U107" s="2"/>
      <c r="V107" s="2"/>
      <c r="W107" s="2"/>
      <c r="X107" s="2"/>
      <c r="Y107" s="2"/>
      <c r="Z107" s="2"/>
      <c r="AA107" s="2"/>
      <c r="AB107" s="2"/>
      <c r="AC107" s="2"/>
      <c r="AD107" s="2"/>
      <c r="AE107" s="2"/>
      <c r="AF107" s="2"/>
      <c r="AG107" s="2"/>
      <c r="AH107" s="2"/>
      <c r="AI107" s="2"/>
      <c r="AJ107" s="2"/>
    </row>
    <row r="108" ht="15.75" customHeight="1">
      <c r="A108" s="2"/>
      <c r="B108" s="2"/>
      <c r="C108" s="2"/>
      <c r="D108" s="2"/>
      <c r="E108" s="2"/>
      <c r="F108" s="2"/>
      <c r="G108" s="2"/>
      <c r="H108" s="2"/>
      <c r="I108" s="2"/>
      <c r="J108" s="2"/>
      <c r="K108" s="2"/>
      <c r="L108" s="2"/>
      <c r="M108" s="2"/>
      <c r="O108" s="2"/>
      <c r="P108" s="2"/>
      <c r="Q108" s="2"/>
      <c r="R108" s="2"/>
      <c r="S108" s="2"/>
      <c r="T108" s="2"/>
      <c r="U108" s="2"/>
      <c r="V108" s="2"/>
      <c r="W108" s="2"/>
      <c r="X108" s="2"/>
      <c r="Y108" s="2"/>
      <c r="Z108" s="2"/>
      <c r="AA108" s="2"/>
      <c r="AB108" s="2"/>
      <c r="AC108" s="2"/>
      <c r="AD108" s="2"/>
      <c r="AE108" s="2"/>
      <c r="AF108" s="2"/>
      <c r="AG108" s="2"/>
      <c r="AH108" s="2"/>
      <c r="AI108" s="2"/>
      <c r="AJ108" s="2"/>
    </row>
    <row r="109" ht="15.75" customHeight="1">
      <c r="A109" s="2"/>
      <c r="B109" s="2"/>
      <c r="C109" s="2"/>
      <c r="D109" s="2"/>
      <c r="E109" s="2"/>
      <c r="F109" s="2"/>
      <c r="G109" s="2"/>
      <c r="H109" s="2"/>
      <c r="I109" s="2"/>
      <c r="J109" s="2"/>
      <c r="K109" s="2"/>
      <c r="L109" s="2"/>
      <c r="M109" s="2"/>
      <c r="O109" s="2"/>
      <c r="P109" s="2"/>
      <c r="Q109" s="2"/>
      <c r="R109" s="2"/>
      <c r="S109" s="2"/>
      <c r="T109" s="2"/>
      <c r="U109" s="2"/>
      <c r="V109" s="2"/>
      <c r="W109" s="2"/>
      <c r="X109" s="2"/>
      <c r="Y109" s="2"/>
      <c r="Z109" s="2"/>
      <c r="AA109" s="2"/>
      <c r="AB109" s="2"/>
      <c r="AC109" s="2"/>
      <c r="AD109" s="2"/>
      <c r="AE109" s="2"/>
      <c r="AF109" s="2"/>
      <c r="AG109" s="2"/>
      <c r="AH109" s="2"/>
      <c r="AI109" s="2"/>
      <c r="AJ109" s="2"/>
    </row>
    <row r="110" ht="15.75" customHeight="1">
      <c r="A110" s="2"/>
      <c r="B110" s="2"/>
      <c r="C110" s="2"/>
      <c r="D110" s="2"/>
      <c r="E110" s="2"/>
      <c r="F110" s="2"/>
      <c r="G110" s="2"/>
      <c r="H110" s="2"/>
      <c r="I110" s="2"/>
      <c r="J110" s="2"/>
      <c r="K110" s="2"/>
      <c r="L110" s="2"/>
      <c r="M110" s="2"/>
      <c r="O110" s="2"/>
      <c r="P110" s="2"/>
      <c r="Q110" s="2"/>
      <c r="R110" s="2"/>
      <c r="S110" s="2"/>
      <c r="T110" s="2"/>
      <c r="U110" s="2"/>
      <c r="V110" s="2"/>
      <c r="W110" s="2"/>
      <c r="X110" s="2"/>
      <c r="Y110" s="2"/>
      <c r="Z110" s="2"/>
      <c r="AA110" s="2"/>
      <c r="AB110" s="2"/>
      <c r="AC110" s="2"/>
      <c r="AD110" s="2"/>
      <c r="AE110" s="2"/>
      <c r="AF110" s="2"/>
      <c r="AG110" s="2"/>
      <c r="AH110" s="2"/>
      <c r="AI110" s="2"/>
      <c r="AJ110" s="2"/>
    </row>
    <row r="111" ht="15.75" customHeight="1">
      <c r="A111" s="2"/>
      <c r="B111" s="2"/>
      <c r="C111" s="2"/>
      <c r="D111" s="2"/>
      <c r="E111" s="2"/>
      <c r="F111" s="2"/>
      <c r="G111" s="2"/>
      <c r="H111" s="2"/>
      <c r="I111" s="2"/>
      <c r="J111" s="2"/>
      <c r="K111" s="2"/>
      <c r="L111" s="2"/>
      <c r="M111" s="2"/>
      <c r="O111" s="2"/>
      <c r="P111" s="2"/>
      <c r="Q111" s="2"/>
      <c r="R111" s="2"/>
      <c r="S111" s="2"/>
      <c r="T111" s="2"/>
      <c r="U111" s="2"/>
      <c r="V111" s="2"/>
      <c r="W111" s="2"/>
      <c r="X111" s="2"/>
      <c r="Y111" s="2"/>
      <c r="Z111" s="2"/>
      <c r="AA111" s="2"/>
      <c r="AB111" s="2"/>
      <c r="AC111" s="2"/>
      <c r="AD111" s="2"/>
      <c r="AE111" s="2"/>
      <c r="AF111" s="2"/>
      <c r="AG111" s="2"/>
      <c r="AH111" s="2"/>
      <c r="AI111" s="2"/>
      <c r="AJ111" s="2"/>
    </row>
    <row r="112" ht="15.75" customHeight="1">
      <c r="A112" s="2"/>
      <c r="B112" s="2"/>
      <c r="C112" s="2"/>
      <c r="D112" s="2"/>
      <c r="E112" s="2"/>
      <c r="F112" s="2"/>
      <c r="G112" s="2"/>
      <c r="H112" s="2"/>
      <c r="I112" s="2"/>
      <c r="J112" s="2"/>
      <c r="K112" s="2"/>
      <c r="L112" s="2"/>
      <c r="M112" s="2"/>
      <c r="O112" s="2"/>
      <c r="P112" s="2"/>
      <c r="Q112" s="2"/>
      <c r="R112" s="2"/>
      <c r="S112" s="2"/>
      <c r="T112" s="2"/>
      <c r="U112" s="2"/>
      <c r="V112" s="2"/>
      <c r="W112" s="2"/>
      <c r="X112" s="2"/>
      <c r="Y112" s="2"/>
      <c r="Z112" s="2"/>
      <c r="AA112" s="2"/>
      <c r="AB112" s="2"/>
      <c r="AC112" s="2"/>
      <c r="AD112" s="2"/>
      <c r="AE112" s="2"/>
      <c r="AF112" s="2"/>
      <c r="AG112" s="2"/>
      <c r="AH112" s="2"/>
      <c r="AI112" s="2"/>
      <c r="AJ112" s="2"/>
    </row>
    <row r="113" ht="15.75" customHeight="1">
      <c r="A113" s="2"/>
      <c r="B113" s="2"/>
      <c r="C113" s="2"/>
      <c r="D113" s="2"/>
      <c r="E113" s="2"/>
      <c r="F113" s="2"/>
      <c r="G113" s="2"/>
      <c r="H113" s="2"/>
      <c r="I113" s="2"/>
      <c r="J113" s="2"/>
      <c r="K113" s="2"/>
      <c r="L113" s="2"/>
      <c r="M113" s="2"/>
      <c r="O113" s="2"/>
      <c r="P113" s="2"/>
      <c r="Q113" s="2"/>
      <c r="R113" s="2"/>
      <c r="S113" s="2"/>
      <c r="T113" s="2"/>
      <c r="U113" s="2"/>
      <c r="V113" s="2"/>
      <c r="W113" s="2"/>
      <c r="X113" s="2"/>
      <c r="Y113" s="2"/>
      <c r="Z113" s="2"/>
      <c r="AA113" s="2"/>
      <c r="AB113" s="2"/>
      <c r="AC113" s="2"/>
      <c r="AD113" s="2"/>
      <c r="AE113" s="2"/>
      <c r="AF113" s="2"/>
      <c r="AG113" s="2"/>
      <c r="AH113" s="2"/>
      <c r="AI113" s="2"/>
      <c r="AJ113" s="2"/>
    </row>
    <row r="114" ht="15.75" customHeight="1">
      <c r="A114" s="2"/>
      <c r="B114" s="2"/>
      <c r="C114" s="2"/>
      <c r="D114" s="2"/>
      <c r="E114" s="2"/>
      <c r="F114" s="2"/>
      <c r="G114" s="2"/>
      <c r="H114" s="2"/>
      <c r="I114" s="2"/>
      <c r="J114" s="2"/>
      <c r="K114" s="2"/>
      <c r="L114" s="2"/>
      <c r="M114" s="2"/>
      <c r="O114" s="2"/>
      <c r="P114" s="2"/>
      <c r="Q114" s="2"/>
      <c r="R114" s="2"/>
      <c r="S114" s="2"/>
      <c r="T114" s="2"/>
      <c r="U114" s="2"/>
      <c r="V114" s="2"/>
      <c r="W114" s="2"/>
      <c r="X114" s="2"/>
      <c r="Y114" s="2"/>
      <c r="Z114" s="2"/>
      <c r="AA114" s="2"/>
      <c r="AB114" s="2"/>
      <c r="AC114" s="2"/>
      <c r="AD114" s="2"/>
      <c r="AE114" s="2"/>
      <c r="AF114" s="2"/>
      <c r="AG114" s="2"/>
      <c r="AH114" s="2"/>
      <c r="AI114" s="2"/>
      <c r="AJ114" s="2"/>
    </row>
    <row r="115" ht="15.75" customHeight="1">
      <c r="A115" s="2"/>
      <c r="B115" s="2"/>
      <c r="C115" s="2"/>
      <c r="D115" s="2"/>
      <c r="E115" s="2"/>
      <c r="F115" s="2"/>
      <c r="G115" s="2"/>
      <c r="H115" s="2"/>
      <c r="I115" s="2"/>
      <c r="J115" s="2"/>
      <c r="K115" s="2"/>
      <c r="L115" s="2"/>
      <c r="M115" s="2"/>
      <c r="O115" s="2"/>
      <c r="P115" s="2"/>
      <c r="Q115" s="2"/>
      <c r="R115" s="2"/>
      <c r="S115" s="2"/>
      <c r="T115" s="2"/>
      <c r="U115" s="2"/>
      <c r="V115" s="2"/>
      <c r="W115" s="2"/>
      <c r="X115" s="2"/>
      <c r="Y115" s="2"/>
      <c r="Z115" s="2"/>
      <c r="AA115" s="2"/>
      <c r="AB115" s="2"/>
      <c r="AC115" s="2"/>
      <c r="AD115" s="2"/>
      <c r="AE115" s="2"/>
      <c r="AF115" s="2"/>
      <c r="AG115" s="2"/>
      <c r="AH115" s="2"/>
      <c r="AI115" s="2"/>
      <c r="AJ115" s="2"/>
    </row>
    <row r="116" ht="15.75" customHeight="1">
      <c r="A116" s="2"/>
      <c r="B116" s="2"/>
      <c r="C116" s="2"/>
      <c r="D116" s="2"/>
      <c r="E116" s="2"/>
      <c r="F116" s="2"/>
      <c r="G116" s="2"/>
      <c r="H116" s="2"/>
      <c r="I116" s="2"/>
      <c r="J116" s="2"/>
      <c r="K116" s="2"/>
      <c r="L116" s="2"/>
      <c r="M116" s="2"/>
      <c r="O116" s="2"/>
      <c r="P116" s="2"/>
      <c r="Q116" s="2"/>
      <c r="R116" s="2"/>
      <c r="S116" s="2"/>
      <c r="T116" s="2"/>
      <c r="U116" s="2"/>
      <c r="V116" s="2"/>
      <c r="W116" s="2"/>
      <c r="X116" s="2"/>
      <c r="Y116" s="2"/>
      <c r="Z116" s="2"/>
      <c r="AA116" s="2"/>
      <c r="AB116" s="2"/>
      <c r="AC116" s="2"/>
      <c r="AD116" s="2"/>
      <c r="AE116" s="2"/>
      <c r="AF116" s="2"/>
      <c r="AG116" s="2"/>
      <c r="AH116" s="2"/>
      <c r="AI116" s="2"/>
      <c r="AJ116" s="2"/>
    </row>
    <row r="117" ht="15.75" customHeight="1">
      <c r="A117" s="2"/>
      <c r="B117" s="2"/>
      <c r="C117" s="2"/>
      <c r="D117" s="2"/>
      <c r="E117" s="2"/>
      <c r="F117" s="2"/>
      <c r="G117" s="2"/>
      <c r="H117" s="2"/>
      <c r="I117" s="2"/>
      <c r="J117" s="2"/>
      <c r="K117" s="2"/>
      <c r="L117" s="2"/>
      <c r="M117" s="2"/>
      <c r="O117" s="2"/>
      <c r="P117" s="2"/>
      <c r="Q117" s="2"/>
      <c r="R117" s="2"/>
      <c r="S117" s="2"/>
      <c r="T117" s="2"/>
      <c r="U117" s="2"/>
      <c r="V117" s="2"/>
      <c r="W117" s="2"/>
      <c r="X117" s="2"/>
      <c r="Y117" s="2"/>
      <c r="Z117" s="2"/>
      <c r="AA117" s="2"/>
      <c r="AB117" s="2"/>
      <c r="AC117" s="2"/>
      <c r="AD117" s="2"/>
      <c r="AE117" s="2"/>
      <c r="AF117" s="2"/>
      <c r="AG117" s="2"/>
      <c r="AH117" s="2"/>
      <c r="AI117" s="2"/>
      <c r="AJ117" s="2"/>
    </row>
    <row r="118" ht="15.75" customHeight="1">
      <c r="A118" s="2"/>
      <c r="B118" s="2"/>
      <c r="C118" s="2"/>
      <c r="D118" s="2"/>
      <c r="E118" s="2"/>
      <c r="F118" s="2"/>
      <c r="G118" s="2"/>
      <c r="H118" s="2"/>
      <c r="I118" s="2"/>
      <c r="J118" s="2"/>
      <c r="K118" s="2"/>
      <c r="L118" s="2"/>
      <c r="M118" s="2"/>
      <c r="O118" s="2"/>
      <c r="P118" s="2"/>
      <c r="Q118" s="2"/>
      <c r="R118" s="2"/>
      <c r="S118" s="2"/>
      <c r="T118" s="2"/>
      <c r="U118" s="2"/>
      <c r="V118" s="2"/>
      <c r="W118" s="2"/>
      <c r="X118" s="2"/>
      <c r="Y118" s="2"/>
      <c r="Z118" s="2"/>
      <c r="AA118" s="2"/>
      <c r="AB118" s="2"/>
      <c r="AC118" s="2"/>
      <c r="AD118" s="2"/>
      <c r="AE118" s="2"/>
      <c r="AF118" s="2"/>
      <c r="AG118" s="2"/>
      <c r="AH118" s="2"/>
      <c r="AI118" s="2"/>
      <c r="AJ118" s="2"/>
    </row>
    <row r="119" ht="15.75" customHeight="1">
      <c r="A119" s="2"/>
      <c r="B119" s="2"/>
      <c r="C119" s="2"/>
      <c r="D119" s="2"/>
      <c r="E119" s="2"/>
      <c r="F119" s="2"/>
      <c r="G119" s="2"/>
      <c r="H119" s="2"/>
      <c r="I119" s="2"/>
      <c r="J119" s="2"/>
      <c r="K119" s="2"/>
      <c r="L119" s="2"/>
      <c r="M119" s="2"/>
      <c r="O119" s="2"/>
      <c r="P119" s="2"/>
      <c r="Q119" s="2"/>
      <c r="R119" s="2"/>
      <c r="S119" s="2"/>
      <c r="T119" s="2"/>
      <c r="U119" s="2"/>
      <c r="V119" s="2"/>
      <c r="W119" s="2"/>
      <c r="X119" s="2"/>
      <c r="Y119" s="2"/>
      <c r="Z119" s="2"/>
      <c r="AA119" s="2"/>
      <c r="AB119" s="2"/>
      <c r="AC119" s="2"/>
      <c r="AD119" s="2"/>
      <c r="AE119" s="2"/>
      <c r="AF119" s="2"/>
      <c r="AG119" s="2"/>
      <c r="AH119" s="2"/>
      <c r="AI119" s="2"/>
      <c r="AJ119" s="2"/>
    </row>
    <row r="120" ht="15.75" customHeight="1">
      <c r="A120" s="2"/>
      <c r="B120" s="2"/>
      <c r="C120" s="2"/>
      <c r="D120" s="2"/>
      <c r="E120" s="2"/>
      <c r="F120" s="2"/>
      <c r="G120" s="2"/>
      <c r="H120" s="2"/>
      <c r="I120" s="2"/>
      <c r="J120" s="2"/>
      <c r="K120" s="2"/>
      <c r="L120" s="2"/>
      <c r="M120" s="2"/>
      <c r="O120" s="2"/>
      <c r="P120" s="2"/>
      <c r="Q120" s="2"/>
      <c r="R120" s="2"/>
      <c r="S120" s="2"/>
      <c r="T120" s="2"/>
      <c r="U120" s="2"/>
      <c r="V120" s="2"/>
      <c r="W120" s="2"/>
      <c r="X120" s="2"/>
      <c r="Y120" s="2"/>
      <c r="Z120" s="2"/>
      <c r="AA120" s="2"/>
      <c r="AB120" s="2"/>
      <c r="AC120" s="2"/>
      <c r="AD120" s="2"/>
      <c r="AE120" s="2"/>
      <c r="AF120" s="2"/>
      <c r="AG120" s="2"/>
      <c r="AH120" s="2"/>
      <c r="AI120" s="2"/>
      <c r="AJ120" s="2"/>
    </row>
    <row r="121" ht="15.75" customHeight="1">
      <c r="A121" s="2"/>
      <c r="B121" s="2"/>
      <c r="C121" s="2"/>
      <c r="D121" s="2"/>
      <c r="E121" s="2"/>
      <c r="F121" s="2"/>
      <c r="G121" s="2"/>
      <c r="H121" s="2"/>
      <c r="I121" s="2"/>
      <c r="J121" s="2"/>
      <c r="K121" s="2"/>
      <c r="L121" s="2"/>
      <c r="M121" s="2"/>
      <c r="O121" s="2"/>
      <c r="P121" s="2"/>
      <c r="Q121" s="2"/>
      <c r="R121" s="2"/>
      <c r="S121" s="2"/>
      <c r="T121" s="2"/>
      <c r="U121" s="2"/>
      <c r="V121" s="2"/>
      <c r="W121" s="2"/>
      <c r="X121" s="2"/>
      <c r="Y121" s="2"/>
      <c r="Z121" s="2"/>
      <c r="AA121" s="2"/>
      <c r="AB121" s="2"/>
      <c r="AC121" s="2"/>
      <c r="AD121" s="2"/>
      <c r="AE121" s="2"/>
      <c r="AF121" s="2"/>
      <c r="AG121" s="2"/>
      <c r="AH121" s="2"/>
      <c r="AI121" s="2"/>
      <c r="AJ121" s="2"/>
    </row>
    <row r="122" ht="15.75" customHeight="1">
      <c r="A122" s="2"/>
      <c r="B122" s="2"/>
      <c r="C122" s="2"/>
      <c r="D122" s="2"/>
      <c r="E122" s="2"/>
      <c r="F122" s="2"/>
      <c r="G122" s="2"/>
      <c r="H122" s="2"/>
      <c r="I122" s="2"/>
      <c r="J122" s="2"/>
      <c r="K122" s="2"/>
      <c r="L122" s="2"/>
      <c r="M122" s="2"/>
      <c r="O122" s="2"/>
      <c r="P122" s="2"/>
      <c r="Q122" s="2"/>
      <c r="R122" s="2"/>
      <c r="S122" s="2"/>
      <c r="T122" s="2"/>
      <c r="U122" s="2"/>
      <c r="V122" s="2"/>
      <c r="W122" s="2"/>
      <c r="X122" s="2"/>
      <c r="Y122" s="2"/>
      <c r="Z122" s="2"/>
      <c r="AA122" s="2"/>
      <c r="AB122" s="2"/>
      <c r="AC122" s="2"/>
      <c r="AD122" s="2"/>
      <c r="AE122" s="2"/>
      <c r="AF122" s="2"/>
      <c r="AG122" s="2"/>
      <c r="AH122" s="2"/>
      <c r="AI122" s="2"/>
      <c r="AJ122" s="2"/>
    </row>
    <row r="123" ht="15.75" customHeight="1">
      <c r="A123" s="2"/>
      <c r="B123" s="2"/>
      <c r="C123" s="2"/>
      <c r="D123" s="2"/>
      <c r="E123" s="2"/>
      <c r="F123" s="2"/>
      <c r="G123" s="2"/>
      <c r="H123" s="2"/>
      <c r="I123" s="2"/>
      <c r="J123" s="2"/>
      <c r="K123" s="2"/>
      <c r="L123" s="2"/>
      <c r="M123" s="2"/>
      <c r="O123" s="2"/>
      <c r="P123" s="2"/>
      <c r="Q123" s="2"/>
      <c r="R123" s="2"/>
      <c r="S123" s="2"/>
      <c r="T123" s="2"/>
      <c r="U123" s="2"/>
      <c r="V123" s="2"/>
      <c r="W123" s="2"/>
      <c r="X123" s="2"/>
      <c r="Y123" s="2"/>
      <c r="Z123" s="2"/>
      <c r="AA123" s="2"/>
      <c r="AB123" s="2"/>
      <c r="AC123" s="2"/>
      <c r="AD123" s="2"/>
      <c r="AE123" s="2"/>
      <c r="AF123" s="2"/>
      <c r="AG123" s="2"/>
      <c r="AH123" s="2"/>
      <c r="AI123" s="2"/>
      <c r="AJ123" s="2"/>
    </row>
    <row r="124" ht="15.75" customHeight="1">
      <c r="A124" s="2"/>
      <c r="B124" s="2"/>
      <c r="C124" s="2"/>
      <c r="D124" s="2"/>
      <c r="E124" s="2"/>
      <c r="F124" s="2"/>
      <c r="G124" s="2"/>
      <c r="H124" s="2"/>
      <c r="I124" s="2"/>
      <c r="J124" s="2"/>
      <c r="K124" s="2"/>
      <c r="L124" s="2"/>
      <c r="M124" s="2"/>
      <c r="O124" s="2"/>
      <c r="P124" s="2"/>
      <c r="Q124" s="2"/>
      <c r="R124" s="2"/>
      <c r="S124" s="2"/>
      <c r="T124" s="2"/>
      <c r="U124" s="2"/>
      <c r="V124" s="2"/>
      <c r="W124" s="2"/>
      <c r="X124" s="2"/>
      <c r="Y124" s="2"/>
      <c r="Z124" s="2"/>
      <c r="AA124" s="2"/>
      <c r="AB124" s="2"/>
      <c r="AC124" s="2"/>
      <c r="AD124" s="2"/>
      <c r="AE124" s="2"/>
      <c r="AF124" s="2"/>
      <c r="AG124" s="2"/>
      <c r="AH124" s="2"/>
      <c r="AI124" s="2"/>
      <c r="AJ124" s="2"/>
    </row>
    <row r="125" ht="15.75" customHeight="1">
      <c r="A125" s="2"/>
      <c r="B125" s="2"/>
      <c r="C125" s="2"/>
      <c r="D125" s="2"/>
      <c r="E125" s="2"/>
      <c r="F125" s="2"/>
      <c r="G125" s="2"/>
      <c r="H125" s="2"/>
      <c r="I125" s="2"/>
      <c r="J125" s="2"/>
      <c r="K125" s="2"/>
      <c r="L125" s="2"/>
      <c r="M125" s="2"/>
      <c r="O125" s="2"/>
      <c r="P125" s="2"/>
      <c r="Q125" s="2"/>
      <c r="R125" s="2"/>
      <c r="S125" s="2"/>
      <c r="T125" s="2"/>
      <c r="U125" s="2"/>
      <c r="V125" s="2"/>
      <c r="W125" s="2"/>
      <c r="X125" s="2"/>
      <c r="Y125" s="2"/>
      <c r="Z125" s="2"/>
      <c r="AA125" s="2"/>
      <c r="AB125" s="2"/>
      <c r="AC125" s="2"/>
      <c r="AD125" s="2"/>
      <c r="AE125" s="2"/>
      <c r="AF125" s="2"/>
      <c r="AG125" s="2"/>
      <c r="AH125" s="2"/>
      <c r="AI125" s="2"/>
      <c r="AJ125" s="2"/>
    </row>
    <row r="126" ht="15.75" customHeight="1">
      <c r="A126" s="2"/>
      <c r="B126" s="2"/>
      <c r="C126" s="2"/>
      <c r="D126" s="2"/>
      <c r="E126" s="2"/>
      <c r="F126" s="2"/>
      <c r="G126" s="2"/>
      <c r="H126" s="2"/>
      <c r="I126" s="2"/>
      <c r="J126" s="2"/>
      <c r="K126" s="2"/>
      <c r="L126" s="2"/>
      <c r="M126" s="2"/>
      <c r="O126" s="2"/>
      <c r="P126" s="2"/>
      <c r="Q126" s="2"/>
      <c r="R126" s="2"/>
      <c r="S126" s="2"/>
      <c r="T126" s="2"/>
      <c r="U126" s="2"/>
      <c r="V126" s="2"/>
      <c r="W126" s="2"/>
      <c r="X126" s="2"/>
      <c r="Y126" s="2"/>
      <c r="Z126" s="2"/>
      <c r="AA126" s="2"/>
      <c r="AB126" s="2"/>
      <c r="AC126" s="2"/>
      <c r="AD126" s="2"/>
      <c r="AE126" s="2"/>
      <c r="AF126" s="2"/>
      <c r="AG126" s="2"/>
      <c r="AH126" s="2"/>
      <c r="AI126" s="2"/>
      <c r="AJ126" s="2"/>
    </row>
    <row r="127" ht="15.75" customHeight="1">
      <c r="A127" s="2"/>
      <c r="B127" s="2"/>
      <c r="C127" s="2"/>
      <c r="D127" s="2"/>
      <c r="E127" s="2"/>
      <c r="F127" s="2"/>
      <c r="G127" s="2"/>
      <c r="H127" s="2"/>
      <c r="I127" s="2"/>
      <c r="J127" s="2"/>
      <c r="K127" s="2"/>
      <c r="L127" s="2"/>
      <c r="M127" s="2"/>
      <c r="O127" s="2"/>
      <c r="P127" s="2"/>
      <c r="Q127" s="2"/>
      <c r="R127" s="2"/>
      <c r="S127" s="2"/>
      <c r="T127" s="2"/>
      <c r="U127" s="2"/>
      <c r="V127" s="2"/>
      <c r="W127" s="2"/>
      <c r="X127" s="2"/>
      <c r="Y127" s="2"/>
      <c r="Z127" s="2"/>
      <c r="AA127" s="2"/>
      <c r="AB127" s="2"/>
      <c r="AC127" s="2"/>
      <c r="AD127" s="2"/>
      <c r="AE127" s="2"/>
      <c r="AF127" s="2"/>
      <c r="AG127" s="2"/>
      <c r="AH127" s="2"/>
      <c r="AI127" s="2"/>
      <c r="AJ127" s="2"/>
    </row>
    <row r="128" ht="15.75" customHeight="1">
      <c r="A128" s="2"/>
      <c r="B128" s="2"/>
      <c r="C128" s="2"/>
      <c r="D128" s="2"/>
      <c r="E128" s="2"/>
      <c r="F128" s="2"/>
      <c r="G128" s="2"/>
      <c r="H128" s="2"/>
      <c r="I128" s="2"/>
      <c r="J128" s="2"/>
      <c r="K128" s="2"/>
      <c r="L128" s="2"/>
      <c r="M128" s="2"/>
      <c r="O128" s="2"/>
      <c r="P128" s="2"/>
      <c r="Q128" s="2"/>
      <c r="R128" s="2"/>
      <c r="S128" s="2"/>
      <c r="T128" s="2"/>
      <c r="U128" s="2"/>
      <c r="V128" s="2"/>
      <c r="W128" s="2"/>
      <c r="X128" s="2"/>
      <c r="Y128" s="2"/>
      <c r="Z128" s="2"/>
      <c r="AA128" s="2"/>
      <c r="AB128" s="2"/>
      <c r="AC128" s="2"/>
      <c r="AD128" s="2"/>
      <c r="AE128" s="2"/>
      <c r="AF128" s="2"/>
      <c r="AG128" s="2"/>
      <c r="AH128" s="2"/>
      <c r="AI128" s="2"/>
      <c r="AJ128" s="2"/>
    </row>
    <row r="129" ht="15.75" customHeight="1">
      <c r="A129" s="2"/>
      <c r="B129" s="2"/>
      <c r="C129" s="2"/>
      <c r="D129" s="2"/>
      <c r="E129" s="2"/>
      <c r="F129" s="2"/>
      <c r="G129" s="2"/>
      <c r="H129" s="2"/>
      <c r="I129" s="2"/>
      <c r="J129" s="2"/>
      <c r="K129" s="2"/>
      <c r="L129" s="2"/>
      <c r="M129" s="2"/>
      <c r="O129" s="2"/>
      <c r="P129" s="2"/>
      <c r="Q129" s="2"/>
      <c r="R129" s="2"/>
      <c r="S129" s="2"/>
      <c r="T129" s="2"/>
      <c r="U129" s="2"/>
      <c r="V129" s="2"/>
      <c r="W129" s="2"/>
      <c r="X129" s="2"/>
      <c r="Y129" s="2"/>
      <c r="Z129" s="2"/>
      <c r="AA129" s="2"/>
      <c r="AB129" s="2"/>
      <c r="AC129" s="2"/>
      <c r="AD129" s="2"/>
      <c r="AE129" s="2"/>
      <c r="AF129" s="2"/>
      <c r="AG129" s="2"/>
      <c r="AH129" s="2"/>
      <c r="AI129" s="2"/>
      <c r="AJ129" s="2"/>
    </row>
    <row r="130" ht="15.75" customHeight="1">
      <c r="A130" s="2"/>
      <c r="B130" s="2"/>
      <c r="C130" s="2"/>
      <c r="D130" s="2"/>
      <c r="E130" s="2"/>
      <c r="F130" s="2"/>
      <c r="G130" s="2"/>
      <c r="H130" s="2"/>
      <c r="I130" s="2"/>
      <c r="J130" s="2"/>
      <c r="K130" s="2"/>
      <c r="L130" s="2"/>
      <c r="M130" s="2"/>
      <c r="O130" s="2"/>
      <c r="P130" s="2"/>
      <c r="Q130" s="2"/>
      <c r="R130" s="2"/>
      <c r="S130" s="2"/>
      <c r="T130" s="2"/>
      <c r="U130" s="2"/>
      <c r="V130" s="2"/>
      <c r="W130" s="2"/>
      <c r="X130" s="2"/>
      <c r="Y130" s="2"/>
      <c r="Z130" s="2"/>
      <c r="AA130" s="2"/>
      <c r="AB130" s="2"/>
      <c r="AC130" s="2"/>
      <c r="AD130" s="2"/>
      <c r="AE130" s="2"/>
      <c r="AF130" s="2"/>
      <c r="AG130" s="2"/>
      <c r="AH130" s="2"/>
      <c r="AI130" s="2"/>
      <c r="AJ130" s="2"/>
    </row>
    <row r="131" ht="15.75" customHeight="1">
      <c r="A131" s="2"/>
      <c r="B131" s="2"/>
      <c r="C131" s="2"/>
      <c r="D131" s="2"/>
      <c r="E131" s="2"/>
      <c r="F131" s="2"/>
      <c r="G131" s="2"/>
      <c r="H131" s="2"/>
      <c r="I131" s="2"/>
      <c r="J131" s="2"/>
      <c r="K131" s="2"/>
      <c r="L131" s="2"/>
      <c r="M131" s="2"/>
      <c r="O131" s="2"/>
      <c r="P131" s="2"/>
      <c r="Q131" s="2"/>
      <c r="R131" s="2"/>
      <c r="S131" s="2"/>
      <c r="T131" s="2"/>
      <c r="U131" s="2"/>
      <c r="V131" s="2"/>
      <c r="W131" s="2"/>
      <c r="X131" s="2"/>
      <c r="Y131" s="2"/>
      <c r="Z131" s="2"/>
      <c r="AA131" s="2"/>
      <c r="AB131" s="2"/>
      <c r="AC131" s="2"/>
      <c r="AD131" s="2"/>
      <c r="AE131" s="2"/>
      <c r="AF131" s="2"/>
      <c r="AG131" s="2"/>
      <c r="AH131" s="2"/>
      <c r="AI131" s="2"/>
      <c r="AJ131" s="2"/>
    </row>
    <row r="132" ht="15.75" customHeight="1">
      <c r="A132" s="2"/>
      <c r="B132" s="2"/>
      <c r="C132" s="2"/>
      <c r="D132" s="2"/>
      <c r="E132" s="2"/>
      <c r="F132" s="2"/>
      <c r="G132" s="2"/>
      <c r="H132" s="2"/>
      <c r="I132" s="2"/>
      <c r="J132" s="2"/>
      <c r="K132" s="2"/>
      <c r="L132" s="2"/>
      <c r="M132" s="2"/>
      <c r="O132" s="2"/>
      <c r="P132" s="2"/>
      <c r="Q132" s="2"/>
      <c r="R132" s="2"/>
      <c r="S132" s="2"/>
      <c r="T132" s="2"/>
      <c r="U132" s="2"/>
      <c r="V132" s="2"/>
      <c r="W132" s="2"/>
      <c r="X132" s="2"/>
      <c r="Y132" s="2"/>
      <c r="Z132" s="2"/>
      <c r="AA132" s="2"/>
      <c r="AB132" s="2"/>
      <c r="AC132" s="2"/>
      <c r="AD132" s="2"/>
      <c r="AE132" s="2"/>
      <c r="AF132" s="2"/>
      <c r="AG132" s="2"/>
      <c r="AH132" s="2"/>
      <c r="AI132" s="2"/>
      <c r="AJ132" s="2"/>
    </row>
    <row r="133" ht="15.75" customHeight="1">
      <c r="A133" s="2"/>
      <c r="B133" s="2"/>
      <c r="C133" s="2"/>
      <c r="D133" s="2"/>
      <c r="E133" s="2"/>
      <c r="F133" s="2"/>
      <c r="G133" s="2"/>
      <c r="H133" s="2"/>
      <c r="I133" s="2"/>
      <c r="J133" s="2"/>
      <c r="K133" s="2"/>
      <c r="L133" s="2"/>
      <c r="M133" s="2"/>
      <c r="O133" s="2"/>
      <c r="P133" s="2"/>
      <c r="Q133" s="2"/>
      <c r="R133" s="2"/>
      <c r="S133" s="2"/>
      <c r="T133" s="2"/>
      <c r="U133" s="2"/>
      <c r="V133" s="2"/>
      <c r="W133" s="2"/>
      <c r="X133" s="2"/>
      <c r="Y133" s="2"/>
      <c r="Z133" s="2"/>
      <c r="AA133" s="2"/>
      <c r="AB133" s="2"/>
      <c r="AC133" s="2"/>
      <c r="AD133" s="2"/>
      <c r="AE133" s="2"/>
      <c r="AF133" s="2"/>
      <c r="AG133" s="2"/>
      <c r="AH133" s="2"/>
      <c r="AI133" s="2"/>
      <c r="AJ133" s="2"/>
    </row>
    <row r="134" ht="15.75" customHeight="1">
      <c r="A134" s="2"/>
      <c r="B134" s="2"/>
      <c r="C134" s="2"/>
      <c r="D134" s="2"/>
      <c r="E134" s="2"/>
      <c r="F134" s="2"/>
      <c r="G134" s="2"/>
      <c r="H134" s="2"/>
      <c r="I134" s="2"/>
      <c r="J134" s="2"/>
      <c r="K134" s="2"/>
      <c r="L134" s="2"/>
      <c r="M134" s="2"/>
      <c r="O134" s="2"/>
      <c r="P134" s="2"/>
      <c r="Q134" s="2"/>
      <c r="R134" s="2"/>
      <c r="S134" s="2"/>
      <c r="T134" s="2"/>
      <c r="U134" s="2"/>
      <c r="V134" s="2"/>
      <c r="W134" s="2"/>
      <c r="X134" s="2"/>
      <c r="Y134" s="2"/>
      <c r="Z134" s="2"/>
      <c r="AA134" s="2"/>
      <c r="AB134" s="2"/>
      <c r="AC134" s="2"/>
      <c r="AD134" s="2"/>
      <c r="AE134" s="2"/>
      <c r="AF134" s="2"/>
      <c r="AG134" s="2"/>
      <c r="AH134" s="2"/>
      <c r="AI134" s="2"/>
      <c r="AJ134" s="2"/>
    </row>
    <row r="135" ht="15.75" customHeight="1">
      <c r="A135" s="2"/>
      <c r="B135" s="2"/>
      <c r="C135" s="2"/>
      <c r="D135" s="2"/>
      <c r="E135" s="2"/>
      <c r="F135" s="2"/>
      <c r="G135" s="2"/>
      <c r="H135" s="2"/>
      <c r="I135" s="2"/>
      <c r="J135" s="2"/>
      <c r="K135" s="2"/>
      <c r="L135" s="2"/>
      <c r="M135" s="2"/>
      <c r="O135" s="2"/>
      <c r="P135" s="2"/>
      <c r="Q135" s="2"/>
      <c r="R135" s="2"/>
      <c r="S135" s="2"/>
      <c r="T135" s="2"/>
      <c r="U135" s="2"/>
      <c r="V135" s="2"/>
      <c r="W135" s="2"/>
      <c r="X135" s="2"/>
      <c r="Y135" s="2"/>
      <c r="Z135" s="2"/>
      <c r="AA135" s="2"/>
      <c r="AB135" s="2"/>
      <c r="AC135" s="2"/>
      <c r="AD135" s="2"/>
      <c r="AE135" s="2"/>
      <c r="AF135" s="2"/>
      <c r="AG135" s="2"/>
      <c r="AH135" s="2"/>
      <c r="AI135" s="2"/>
      <c r="AJ135" s="2"/>
    </row>
    <row r="136" ht="15.75" customHeight="1">
      <c r="A136" s="2"/>
      <c r="B136" s="2"/>
      <c r="C136" s="2"/>
      <c r="D136" s="2"/>
      <c r="E136" s="2"/>
      <c r="F136" s="2"/>
      <c r="G136" s="2"/>
      <c r="H136" s="2"/>
      <c r="I136" s="2"/>
      <c r="J136" s="2"/>
      <c r="K136" s="2"/>
      <c r="L136" s="2"/>
      <c r="M136" s="2"/>
      <c r="O136" s="2"/>
      <c r="P136" s="2"/>
      <c r="Q136" s="2"/>
      <c r="R136" s="2"/>
      <c r="S136" s="2"/>
      <c r="T136" s="2"/>
      <c r="U136" s="2"/>
      <c r="V136" s="2"/>
      <c r="W136" s="2"/>
      <c r="X136" s="2"/>
      <c r="Y136" s="2"/>
      <c r="Z136" s="2"/>
      <c r="AA136" s="2"/>
      <c r="AB136" s="2"/>
      <c r="AC136" s="2"/>
      <c r="AD136" s="2"/>
      <c r="AE136" s="2"/>
      <c r="AF136" s="2"/>
      <c r="AG136" s="2"/>
      <c r="AH136" s="2"/>
      <c r="AI136" s="2"/>
      <c r="AJ136" s="2"/>
    </row>
    <row r="137" ht="15.75" customHeight="1">
      <c r="A137" s="2"/>
      <c r="B137" s="2"/>
      <c r="C137" s="2"/>
      <c r="D137" s="2"/>
      <c r="E137" s="2"/>
      <c r="F137" s="2"/>
      <c r="G137" s="2"/>
      <c r="H137" s="2"/>
      <c r="I137" s="2"/>
      <c r="J137" s="2"/>
      <c r="K137" s="2"/>
      <c r="L137" s="2"/>
      <c r="M137" s="2"/>
      <c r="O137" s="2"/>
      <c r="P137" s="2"/>
      <c r="Q137" s="2"/>
      <c r="R137" s="2"/>
      <c r="S137" s="2"/>
      <c r="T137" s="2"/>
      <c r="U137" s="2"/>
      <c r="V137" s="2"/>
      <c r="W137" s="2"/>
      <c r="X137" s="2"/>
      <c r="Y137" s="2"/>
      <c r="Z137" s="2"/>
      <c r="AA137" s="2"/>
      <c r="AB137" s="2"/>
      <c r="AC137" s="2"/>
      <c r="AD137" s="2"/>
      <c r="AE137" s="2"/>
      <c r="AF137" s="2"/>
      <c r="AG137" s="2"/>
      <c r="AH137" s="2"/>
      <c r="AI137" s="2"/>
      <c r="AJ137" s="2"/>
    </row>
    <row r="138" ht="15.75" customHeight="1">
      <c r="A138" s="2"/>
      <c r="B138" s="2"/>
      <c r="C138" s="2"/>
      <c r="D138" s="2"/>
      <c r="E138" s="2"/>
      <c r="F138" s="2"/>
      <c r="G138" s="2"/>
      <c r="H138" s="2"/>
      <c r="I138" s="2"/>
      <c r="J138" s="2"/>
      <c r="K138" s="2"/>
      <c r="L138" s="2"/>
      <c r="M138" s="2"/>
      <c r="O138" s="2"/>
      <c r="P138" s="2"/>
      <c r="Q138" s="2"/>
      <c r="R138" s="2"/>
      <c r="S138" s="2"/>
      <c r="T138" s="2"/>
      <c r="U138" s="2"/>
      <c r="V138" s="2"/>
      <c r="W138" s="2"/>
      <c r="X138" s="2"/>
      <c r="Y138" s="2"/>
      <c r="Z138" s="2"/>
      <c r="AA138" s="2"/>
      <c r="AB138" s="2"/>
      <c r="AC138" s="2"/>
      <c r="AD138" s="2"/>
      <c r="AE138" s="2"/>
      <c r="AF138" s="2"/>
      <c r="AG138" s="2"/>
      <c r="AH138" s="2"/>
      <c r="AI138" s="2"/>
      <c r="AJ138" s="2"/>
    </row>
    <row r="139" ht="15.75" customHeight="1">
      <c r="A139" s="2"/>
      <c r="B139" s="2"/>
      <c r="C139" s="2"/>
      <c r="D139" s="2"/>
      <c r="E139" s="2"/>
      <c r="F139" s="2"/>
      <c r="G139" s="2"/>
      <c r="H139" s="2"/>
      <c r="I139" s="2"/>
      <c r="J139" s="2"/>
      <c r="K139" s="2"/>
      <c r="L139" s="2"/>
      <c r="M139" s="2"/>
      <c r="O139" s="2"/>
      <c r="P139" s="2"/>
      <c r="Q139" s="2"/>
      <c r="R139" s="2"/>
      <c r="S139" s="2"/>
      <c r="T139" s="2"/>
      <c r="U139" s="2"/>
      <c r="V139" s="2"/>
      <c r="W139" s="2"/>
      <c r="X139" s="2"/>
      <c r="Y139" s="2"/>
      <c r="Z139" s="2"/>
      <c r="AA139" s="2"/>
      <c r="AB139" s="2"/>
      <c r="AC139" s="2"/>
      <c r="AD139" s="2"/>
      <c r="AE139" s="2"/>
      <c r="AF139" s="2"/>
      <c r="AG139" s="2"/>
      <c r="AH139" s="2"/>
      <c r="AI139" s="2"/>
      <c r="AJ139" s="2"/>
    </row>
    <row r="140" ht="15.75" customHeight="1">
      <c r="A140" s="2"/>
      <c r="B140" s="2"/>
      <c r="C140" s="2"/>
      <c r="D140" s="2"/>
      <c r="E140" s="2"/>
      <c r="F140" s="2"/>
      <c r="G140" s="2"/>
      <c r="H140" s="2"/>
      <c r="I140" s="2"/>
      <c r="J140" s="2"/>
      <c r="K140" s="2"/>
      <c r="L140" s="2"/>
      <c r="M140" s="2"/>
      <c r="O140" s="2"/>
      <c r="P140" s="2"/>
      <c r="Q140" s="2"/>
      <c r="R140" s="2"/>
      <c r="S140" s="2"/>
      <c r="T140" s="2"/>
      <c r="U140" s="2"/>
      <c r="V140" s="2"/>
      <c r="W140" s="2"/>
      <c r="X140" s="2"/>
      <c r="Y140" s="2"/>
      <c r="Z140" s="2"/>
      <c r="AA140" s="2"/>
      <c r="AB140" s="2"/>
      <c r="AC140" s="2"/>
      <c r="AD140" s="2"/>
      <c r="AE140" s="2"/>
      <c r="AF140" s="2"/>
      <c r="AG140" s="2"/>
      <c r="AH140" s="2"/>
      <c r="AI140" s="2"/>
      <c r="AJ140" s="2"/>
    </row>
    <row r="141" ht="15.75" customHeight="1">
      <c r="A141" s="2"/>
      <c r="B141" s="2"/>
      <c r="C141" s="2"/>
      <c r="D141" s="2"/>
      <c r="E141" s="2"/>
      <c r="F141" s="2"/>
      <c r="G141" s="2"/>
      <c r="H141" s="2"/>
      <c r="I141" s="2"/>
      <c r="J141" s="2"/>
      <c r="K141" s="2"/>
      <c r="L141" s="2"/>
      <c r="M141" s="2"/>
      <c r="O141" s="2"/>
      <c r="P141" s="2"/>
      <c r="Q141" s="2"/>
      <c r="R141" s="2"/>
      <c r="S141" s="2"/>
      <c r="T141" s="2"/>
      <c r="U141" s="2"/>
      <c r="V141" s="2"/>
      <c r="W141" s="2"/>
      <c r="X141" s="2"/>
      <c r="Y141" s="2"/>
      <c r="Z141" s="2"/>
      <c r="AA141" s="2"/>
      <c r="AB141" s="2"/>
      <c r="AC141" s="2"/>
      <c r="AD141" s="2"/>
      <c r="AE141" s="2"/>
      <c r="AF141" s="2"/>
      <c r="AG141" s="2"/>
      <c r="AH141" s="2"/>
      <c r="AI141" s="2"/>
      <c r="AJ141" s="2"/>
    </row>
    <row r="142" ht="15.75" customHeight="1">
      <c r="A142" s="2"/>
      <c r="B142" s="2"/>
      <c r="C142" s="2"/>
      <c r="D142" s="2"/>
      <c r="E142" s="2"/>
      <c r="F142" s="2"/>
      <c r="G142" s="2"/>
      <c r="H142" s="2"/>
      <c r="I142" s="2"/>
      <c r="J142" s="2"/>
      <c r="K142" s="2"/>
      <c r="L142" s="2"/>
      <c r="M142" s="2"/>
      <c r="O142" s="2"/>
      <c r="P142" s="2"/>
      <c r="Q142" s="2"/>
      <c r="R142" s="2"/>
      <c r="S142" s="2"/>
      <c r="T142" s="2"/>
      <c r="U142" s="2"/>
      <c r="V142" s="2"/>
      <c r="W142" s="2"/>
      <c r="X142" s="2"/>
      <c r="Y142" s="2"/>
      <c r="Z142" s="2"/>
      <c r="AA142" s="2"/>
      <c r="AB142" s="2"/>
      <c r="AC142" s="2"/>
      <c r="AD142" s="2"/>
      <c r="AE142" s="2"/>
      <c r="AF142" s="2"/>
      <c r="AG142" s="2"/>
      <c r="AH142" s="2"/>
      <c r="AI142" s="2"/>
      <c r="AJ142" s="2"/>
    </row>
    <row r="143" ht="15.75" customHeight="1">
      <c r="A143" s="2"/>
      <c r="B143" s="2"/>
      <c r="C143" s="2"/>
      <c r="D143" s="2"/>
      <c r="E143" s="2"/>
      <c r="F143" s="2"/>
      <c r="G143" s="2"/>
      <c r="H143" s="2"/>
      <c r="I143" s="2"/>
      <c r="J143" s="2"/>
      <c r="K143" s="2"/>
      <c r="L143" s="2"/>
      <c r="M143" s="2"/>
      <c r="O143" s="2"/>
      <c r="P143" s="2"/>
      <c r="Q143" s="2"/>
      <c r="R143" s="2"/>
      <c r="S143" s="2"/>
      <c r="T143" s="2"/>
      <c r="U143" s="2"/>
      <c r="V143" s="2"/>
      <c r="W143" s="2"/>
      <c r="X143" s="2"/>
      <c r="Y143" s="2"/>
      <c r="Z143" s="2"/>
      <c r="AA143" s="2"/>
      <c r="AB143" s="2"/>
      <c r="AC143" s="2"/>
      <c r="AD143" s="2"/>
      <c r="AE143" s="2"/>
      <c r="AF143" s="2"/>
      <c r="AG143" s="2"/>
      <c r="AH143" s="2"/>
      <c r="AI143" s="2"/>
      <c r="AJ143" s="2"/>
    </row>
    <row r="144" ht="15.75" customHeight="1">
      <c r="A144" s="2"/>
      <c r="B144" s="2"/>
      <c r="C144" s="2"/>
      <c r="D144" s="2"/>
      <c r="E144" s="2"/>
      <c r="F144" s="2"/>
      <c r="G144" s="2"/>
      <c r="H144" s="2"/>
      <c r="I144" s="2"/>
      <c r="J144" s="2"/>
      <c r="K144" s="2"/>
      <c r="L144" s="2"/>
      <c r="M144" s="2"/>
      <c r="O144" s="2"/>
      <c r="P144" s="2"/>
      <c r="Q144" s="2"/>
      <c r="R144" s="2"/>
      <c r="S144" s="2"/>
      <c r="T144" s="2"/>
      <c r="U144" s="2"/>
      <c r="V144" s="2"/>
      <c r="W144" s="2"/>
      <c r="X144" s="2"/>
      <c r="Y144" s="2"/>
      <c r="Z144" s="2"/>
      <c r="AA144" s="2"/>
      <c r="AB144" s="2"/>
      <c r="AC144" s="2"/>
      <c r="AD144" s="2"/>
      <c r="AE144" s="2"/>
      <c r="AF144" s="2"/>
      <c r="AG144" s="2"/>
      <c r="AH144" s="2"/>
      <c r="AI144" s="2"/>
      <c r="AJ144" s="2"/>
    </row>
    <row r="145" ht="15.75" customHeight="1">
      <c r="A145" s="2"/>
      <c r="B145" s="2"/>
      <c r="C145" s="2"/>
      <c r="D145" s="2"/>
      <c r="E145" s="2"/>
      <c r="F145" s="2"/>
      <c r="G145" s="2"/>
      <c r="H145" s="2"/>
      <c r="I145" s="2"/>
      <c r="J145" s="2"/>
      <c r="K145" s="2"/>
      <c r="L145" s="2"/>
      <c r="M145" s="2"/>
      <c r="O145" s="2"/>
      <c r="P145" s="2"/>
      <c r="Q145" s="2"/>
      <c r="R145" s="2"/>
      <c r="S145" s="2"/>
      <c r="T145" s="2"/>
      <c r="U145" s="2"/>
      <c r="V145" s="2"/>
      <c r="W145" s="2"/>
      <c r="X145" s="2"/>
      <c r="Y145" s="2"/>
      <c r="Z145" s="2"/>
      <c r="AA145" s="2"/>
      <c r="AB145" s="2"/>
      <c r="AC145" s="2"/>
      <c r="AD145" s="2"/>
      <c r="AE145" s="2"/>
      <c r="AF145" s="2"/>
      <c r="AG145" s="2"/>
      <c r="AH145" s="2"/>
      <c r="AI145" s="2"/>
      <c r="AJ145" s="2"/>
    </row>
    <row r="146" ht="15.75" customHeight="1">
      <c r="A146" s="2"/>
      <c r="B146" s="2"/>
      <c r="C146" s="2"/>
      <c r="D146" s="2"/>
      <c r="E146" s="2"/>
      <c r="F146" s="2"/>
      <c r="G146" s="2"/>
      <c r="H146" s="2"/>
      <c r="I146" s="2"/>
      <c r="J146" s="2"/>
      <c r="K146" s="2"/>
      <c r="L146" s="2"/>
      <c r="M146" s="2"/>
      <c r="O146" s="2"/>
      <c r="P146" s="2"/>
      <c r="Q146" s="2"/>
      <c r="R146" s="2"/>
      <c r="S146" s="2"/>
      <c r="T146" s="2"/>
      <c r="U146" s="2"/>
      <c r="V146" s="2"/>
      <c r="W146" s="2"/>
      <c r="X146" s="2"/>
      <c r="Y146" s="2"/>
      <c r="Z146" s="2"/>
      <c r="AA146" s="2"/>
      <c r="AB146" s="2"/>
      <c r="AC146" s="2"/>
      <c r="AD146" s="2"/>
      <c r="AE146" s="2"/>
      <c r="AF146" s="2"/>
      <c r="AG146" s="2"/>
      <c r="AH146" s="2"/>
      <c r="AI146" s="2"/>
      <c r="AJ146" s="2"/>
    </row>
    <row r="147" ht="15.75" customHeight="1">
      <c r="A147" s="2"/>
      <c r="B147" s="2"/>
      <c r="C147" s="2"/>
      <c r="D147" s="2"/>
      <c r="E147" s="2"/>
      <c r="F147" s="2"/>
      <c r="G147" s="2"/>
      <c r="H147" s="2"/>
      <c r="I147" s="2"/>
      <c r="J147" s="2"/>
      <c r="K147" s="2"/>
      <c r="L147" s="2"/>
      <c r="M147" s="2"/>
      <c r="O147" s="2"/>
      <c r="P147" s="2"/>
      <c r="Q147" s="2"/>
      <c r="R147" s="2"/>
      <c r="S147" s="2"/>
      <c r="T147" s="2"/>
      <c r="U147" s="2"/>
      <c r="V147" s="2"/>
      <c r="W147" s="2"/>
      <c r="X147" s="2"/>
      <c r="Y147" s="2"/>
      <c r="Z147" s="2"/>
      <c r="AA147" s="2"/>
      <c r="AB147" s="2"/>
      <c r="AC147" s="2"/>
      <c r="AD147" s="2"/>
      <c r="AE147" s="2"/>
      <c r="AF147" s="2"/>
      <c r="AG147" s="2"/>
      <c r="AH147" s="2"/>
      <c r="AI147" s="2"/>
      <c r="AJ147" s="2"/>
    </row>
    <row r="148" ht="15.75" customHeight="1">
      <c r="A148" s="2"/>
      <c r="B148" s="2"/>
      <c r="C148" s="2"/>
      <c r="D148" s="2"/>
      <c r="E148" s="2"/>
      <c r="F148" s="2"/>
      <c r="G148" s="2"/>
      <c r="H148" s="2"/>
      <c r="I148" s="2"/>
      <c r="J148" s="2"/>
      <c r="K148" s="2"/>
      <c r="L148" s="2"/>
      <c r="M148" s="2"/>
      <c r="O148" s="2"/>
      <c r="P148" s="2"/>
      <c r="Q148" s="2"/>
      <c r="R148" s="2"/>
      <c r="S148" s="2"/>
      <c r="T148" s="2"/>
      <c r="U148" s="2"/>
      <c r="V148" s="2"/>
      <c r="W148" s="2"/>
      <c r="X148" s="2"/>
      <c r="Y148" s="2"/>
      <c r="Z148" s="2"/>
      <c r="AA148" s="2"/>
      <c r="AB148" s="2"/>
      <c r="AC148" s="2"/>
      <c r="AD148" s="2"/>
      <c r="AE148" s="2"/>
      <c r="AF148" s="2"/>
      <c r="AG148" s="2"/>
      <c r="AH148" s="2"/>
      <c r="AI148" s="2"/>
      <c r="AJ148" s="2"/>
    </row>
    <row r="149" ht="15.75" customHeight="1">
      <c r="A149" s="2"/>
      <c r="B149" s="2"/>
      <c r="C149" s="2"/>
      <c r="D149" s="2"/>
      <c r="E149" s="2"/>
      <c r="F149" s="2"/>
      <c r="G149" s="2"/>
      <c r="H149" s="2"/>
      <c r="I149" s="2"/>
      <c r="J149" s="2"/>
      <c r="K149" s="2"/>
      <c r="L149" s="2"/>
      <c r="M149" s="2"/>
      <c r="O149" s="2"/>
      <c r="P149" s="2"/>
      <c r="Q149" s="2"/>
      <c r="R149" s="2"/>
      <c r="S149" s="2"/>
      <c r="T149" s="2"/>
      <c r="U149" s="2"/>
      <c r="V149" s="2"/>
      <c r="W149" s="2"/>
      <c r="X149" s="2"/>
      <c r="Y149" s="2"/>
      <c r="Z149" s="2"/>
      <c r="AA149" s="2"/>
      <c r="AB149" s="2"/>
      <c r="AC149" s="2"/>
      <c r="AD149" s="2"/>
      <c r="AE149" s="2"/>
      <c r="AF149" s="2"/>
      <c r="AG149" s="2"/>
      <c r="AH149" s="2"/>
      <c r="AI149" s="2"/>
      <c r="AJ149" s="2"/>
    </row>
    <row r="150" ht="15.75" customHeight="1">
      <c r="A150" s="2"/>
      <c r="B150" s="2"/>
      <c r="C150" s="2"/>
      <c r="D150" s="2"/>
      <c r="E150" s="2"/>
      <c r="F150" s="2"/>
      <c r="G150" s="2"/>
      <c r="H150" s="2"/>
      <c r="I150" s="2"/>
      <c r="J150" s="2"/>
      <c r="K150" s="2"/>
      <c r="L150" s="2"/>
      <c r="M150" s="2"/>
      <c r="O150" s="2"/>
      <c r="P150" s="2"/>
      <c r="Q150" s="2"/>
      <c r="R150" s="2"/>
      <c r="S150" s="2"/>
      <c r="T150" s="2"/>
      <c r="U150" s="2"/>
      <c r="V150" s="2"/>
      <c r="W150" s="2"/>
      <c r="X150" s="2"/>
      <c r="Y150" s="2"/>
      <c r="Z150" s="2"/>
      <c r="AA150" s="2"/>
      <c r="AB150" s="2"/>
      <c r="AC150" s="2"/>
      <c r="AD150" s="2"/>
      <c r="AE150" s="2"/>
      <c r="AF150" s="2"/>
      <c r="AG150" s="2"/>
      <c r="AH150" s="2"/>
      <c r="AI150" s="2"/>
      <c r="AJ150" s="2"/>
    </row>
    <row r="151" ht="15.75" customHeight="1">
      <c r="A151" s="2"/>
      <c r="B151" s="2"/>
      <c r="C151" s="2"/>
      <c r="D151" s="2"/>
      <c r="E151" s="2"/>
      <c r="F151" s="2"/>
      <c r="G151" s="2"/>
      <c r="H151" s="2"/>
      <c r="I151" s="2"/>
      <c r="J151" s="2"/>
      <c r="K151" s="2"/>
      <c r="L151" s="2"/>
      <c r="M151" s="2"/>
      <c r="O151" s="2"/>
      <c r="P151" s="2"/>
      <c r="Q151" s="2"/>
      <c r="R151" s="2"/>
      <c r="S151" s="2"/>
      <c r="T151" s="2"/>
      <c r="U151" s="2"/>
      <c r="V151" s="2"/>
      <c r="W151" s="2"/>
      <c r="X151" s="2"/>
      <c r="Y151" s="2"/>
      <c r="Z151" s="2"/>
      <c r="AA151" s="2"/>
      <c r="AB151" s="2"/>
      <c r="AC151" s="2"/>
      <c r="AD151" s="2"/>
      <c r="AE151" s="2"/>
      <c r="AF151" s="2"/>
      <c r="AG151" s="2"/>
      <c r="AH151" s="2"/>
      <c r="AI151" s="2"/>
      <c r="AJ151" s="2"/>
    </row>
    <row r="152" ht="15.75" customHeight="1">
      <c r="A152" s="2"/>
      <c r="B152" s="2"/>
      <c r="C152" s="2"/>
      <c r="D152" s="2"/>
      <c r="E152" s="2"/>
      <c r="F152" s="2"/>
      <c r="G152" s="2"/>
      <c r="H152" s="2"/>
      <c r="I152" s="2"/>
      <c r="J152" s="2"/>
      <c r="K152" s="2"/>
      <c r="L152" s="2"/>
      <c r="M152" s="2"/>
      <c r="O152" s="2"/>
      <c r="P152" s="2"/>
      <c r="Q152" s="2"/>
      <c r="R152" s="2"/>
      <c r="S152" s="2"/>
      <c r="T152" s="2"/>
      <c r="U152" s="2"/>
      <c r="V152" s="2"/>
      <c r="W152" s="2"/>
      <c r="X152" s="2"/>
      <c r="Y152" s="2"/>
      <c r="Z152" s="2"/>
      <c r="AA152" s="2"/>
      <c r="AB152" s="2"/>
      <c r="AC152" s="2"/>
      <c r="AD152" s="2"/>
      <c r="AE152" s="2"/>
      <c r="AF152" s="2"/>
      <c r="AG152" s="2"/>
      <c r="AH152" s="2"/>
      <c r="AI152" s="2"/>
      <c r="AJ152" s="2"/>
    </row>
    <row r="153" ht="15.75" customHeight="1">
      <c r="A153" s="2"/>
      <c r="B153" s="2"/>
      <c r="C153" s="2"/>
      <c r="D153" s="2"/>
      <c r="E153" s="2"/>
      <c r="F153" s="2"/>
      <c r="G153" s="2"/>
      <c r="H153" s="2"/>
      <c r="I153" s="2"/>
      <c r="J153" s="2"/>
      <c r="K153" s="2"/>
      <c r="L153" s="2"/>
      <c r="M153" s="2"/>
      <c r="O153" s="2"/>
      <c r="P153" s="2"/>
      <c r="Q153" s="2"/>
      <c r="R153" s="2"/>
      <c r="S153" s="2"/>
      <c r="T153" s="2"/>
      <c r="U153" s="2"/>
      <c r="V153" s="2"/>
      <c r="W153" s="2"/>
      <c r="X153" s="2"/>
      <c r="Y153" s="2"/>
      <c r="Z153" s="2"/>
      <c r="AA153" s="2"/>
      <c r="AB153" s="2"/>
      <c r="AC153" s="2"/>
      <c r="AD153" s="2"/>
      <c r="AE153" s="2"/>
      <c r="AF153" s="2"/>
      <c r="AG153" s="2"/>
      <c r="AH153" s="2"/>
      <c r="AI153" s="2"/>
      <c r="AJ153" s="2"/>
    </row>
    <row r="154" ht="15.75" customHeight="1">
      <c r="A154" s="2"/>
      <c r="B154" s="2"/>
      <c r="C154" s="2"/>
      <c r="D154" s="2"/>
      <c r="E154" s="2"/>
      <c r="F154" s="2"/>
      <c r="G154" s="2"/>
      <c r="H154" s="2"/>
      <c r="I154" s="2"/>
      <c r="J154" s="2"/>
      <c r="K154" s="2"/>
      <c r="L154" s="2"/>
      <c r="M154" s="2"/>
      <c r="O154" s="2"/>
      <c r="P154" s="2"/>
      <c r="Q154" s="2"/>
      <c r="R154" s="2"/>
      <c r="S154" s="2"/>
      <c r="T154" s="2"/>
      <c r="U154" s="2"/>
      <c r="V154" s="2"/>
      <c r="W154" s="2"/>
      <c r="X154" s="2"/>
      <c r="Y154" s="2"/>
      <c r="Z154" s="2"/>
      <c r="AA154" s="2"/>
      <c r="AB154" s="2"/>
      <c r="AC154" s="2"/>
      <c r="AD154" s="2"/>
      <c r="AE154" s="2"/>
      <c r="AF154" s="2"/>
      <c r="AG154" s="2"/>
      <c r="AH154" s="2"/>
      <c r="AI154" s="2"/>
      <c r="AJ154" s="2"/>
    </row>
    <row r="155" ht="15.75" customHeight="1">
      <c r="A155" s="2"/>
      <c r="B155" s="2"/>
      <c r="C155" s="2"/>
      <c r="D155" s="2"/>
      <c r="E155" s="2"/>
      <c r="F155" s="2"/>
      <c r="G155" s="2"/>
      <c r="H155" s="2"/>
      <c r="I155" s="2"/>
      <c r="J155" s="2"/>
      <c r="K155" s="2"/>
      <c r="L155" s="2"/>
      <c r="M155" s="2"/>
      <c r="O155" s="2"/>
      <c r="P155" s="2"/>
      <c r="Q155" s="2"/>
      <c r="R155" s="2"/>
      <c r="S155" s="2"/>
      <c r="T155" s="2"/>
      <c r="U155" s="2"/>
      <c r="V155" s="2"/>
      <c r="W155" s="2"/>
      <c r="X155" s="2"/>
      <c r="Y155" s="2"/>
      <c r="Z155" s="2"/>
      <c r="AA155" s="2"/>
      <c r="AB155" s="2"/>
      <c r="AC155" s="2"/>
      <c r="AD155" s="2"/>
      <c r="AE155" s="2"/>
      <c r="AF155" s="2"/>
      <c r="AG155" s="2"/>
      <c r="AH155" s="2"/>
      <c r="AI155" s="2"/>
      <c r="AJ155" s="2"/>
    </row>
    <row r="156" ht="15.75" customHeight="1">
      <c r="A156" s="2"/>
      <c r="B156" s="2"/>
      <c r="C156" s="2"/>
      <c r="D156" s="2"/>
      <c r="E156" s="2"/>
      <c r="F156" s="2"/>
      <c r="G156" s="2"/>
      <c r="H156" s="2"/>
      <c r="I156" s="2"/>
      <c r="J156" s="2"/>
      <c r="K156" s="2"/>
      <c r="L156" s="2"/>
      <c r="M156" s="2"/>
      <c r="O156" s="2"/>
      <c r="P156" s="2"/>
      <c r="Q156" s="2"/>
      <c r="R156" s="2"/>
      <c r="S156" s="2"/>
      <c r="T156" s="2"/>
      <c r="U156" s="2"/>
      <c r="V156" s="2"/>
      <c r="W156" s="2"/>
      <c r="X156" s="2"/>
      <c r="Y156" s="2"/>
      <c r="Z156" s="2"/>
      <c r="AA156" s="2"/>
      <c r="AB156" s="2"/>
      <c r="AC156" s="2"/>
      <c r="AD156" s="2"/>
      <c r="AE156" s="2"/>
      <c r="AF156" s="2"/>
      <c r="AG156" s="2"/>
      <c r="AH156" s="2"/>
      <c r="AI156" s="2"/>
      <c r="AJ156" s="2"/>
    </row>
    <row r="157" ht="15.75" customHeight="1">
      <c r="A157" s="2"/>
      <c r="B157" s="2"/>
      <c r="C157" s="2"/>
      <c r="D157" s="2"/>
      <c r="E157" s="2"/>
      <c r="F157" s="2"/>
      <c r="G157" s="2"/>
      <c r="H157" s="2"/>
      <c r="I157" s="2"/>
      <c r="J157" s="2"/>
      <c r="K157" s="2"/>
      <c r="L157" s="2"/>
      <c r="M157" s="2"/>
      <c r="O157" s="2"/>
      <c r="P157" s="2"/>
      <c r="Q157" s="2"/>
      <c r="R157" s="2"/>
      <c r="S157" s="2"/>
      <c r="T157" s="2"/>
      <c r="U157" s="2"/>
      <c r="V157" s="2"/>
      <c r="W157" s="2"/>
      <c r="X157" s="2"/>
      <c r="Y157" s="2"/>
      <c r="Z157" s="2"/>
      <c r="AA157" s="2"/>
      <c r="AB157" s="2"/>
      <c r="AC157" s="2"/>
      <c r="AD157" s="2"/>
      <c r="AE157" s="2"/>
      <c r="AF157" s="2"/>
      <c r="AG157" s="2"/>
      <c r="AH157" s="2"/>
      <c r="AI157" s="2"/>
      <c r="AJ157" s="2"/>
    </row>
    <row r="158" ht="15.75" customHeight="1">
      <c r="A158" s="2"/>
      <c r="B158" s="2"/>
      <c r="C158" s="2"/>
      <c r="D158" s="2"/>
      <c r="E158" s="2"/>
      <c r="F158" s="2"/>
      <c r="G158" s="2"/>
      <c r="H158" s="2"/>
      <c r="I158" s="2"/>
      <c r="J158" s="2"/>
      <c r="K158" s="2"/>
      <c r="L158" s="2"/>
      <c r="M158" s="2"/>
      <c r="O158" s="2"/>
      <c r="P158" s="2"/>
      <c r="Q158" s="2"/>
      <c r="R158" s="2"/>
      <c r="S158" s="2"/>
      <c r="T158" s="2"/>
      <c r="U158" s="2"/>
      <c r="V158" s="2"/>
      <c r="W158" s="2"/>
      <c r="X158" s="2"/>
      <c r="Y158" s="2"/>
      <c r="Z158" s="2"/>
      <c r="AA158" s="2"/>
      <c r="AB158" s="2"/>
      <c r="AC158" s="2"/>
      <c r="AD158" s="2"/>
      <c r="AE158" s="2"/>
      <c r="AF158" s="2"/>
      <c r="AG158" s="2"/>
      <c r="AH158" s="2"/>
      <c r="AI158" s="2"/>
      <c r="AJ158" s="2"/>
    </row>
    <row r="159" ht="15.75" customHeight="1">
      <c r="A159" s="2"/>
      <c r="B159" s="2"/>
      <c r="C159" s="2"/>
      <c r="D159" s="2"/>
      <c r="E159" s="2"/>
      <c r="F159" s="2"/>
      <c r="G159" s="2"/>
      <c r="H159" s="2"/>
      <c r="I159" s="2"/>
      <c r="J159" s="2"/>
      <c r="K159" s="2"/>
      <c r="L159" s="2"/>
      <c r="M159" s="2"/>
      <c r="O159" s="2"/>
      <c r="P159" s="2"/>
      <c r="Q159" s="2"/>
      <c r="R159" s="2"/>
      <c r="S159" s="2"/>
      <c r="T159" s="2"/>
      <c r="U159" s="2"/>
      <c r="V159" s="2"/>
      <c r="W159" s="2"/>
      <c r="X159" s="2"/>
      <c r="Y159" s="2"/>
      <c r="Z159" s="2"/>
      <c r="AA159" s="2"/>
      <c r="AB159" s="2"/>
      <c r="AC159" s="2"/>
      <c r="AD159" s="2"/>
      <c r="AE159" s="2"/>
      <c r="AF159" s="2"/>
      <c r="AG159" s="2"/>
      <c r="AH159" s="2"/>
      <c r="AI159" s="2"/>
      <c r="AJ159" s="2"/>
    </row>
    <row r="160" ht="15.75" customHeight="1">
      <c r="A160" s="2"/>
      <c r="B160" s="2"/>
      <c r="C160" s="2"/>
      <c r="D160" s="2"/>
      <c r="E160" s="2"/>
      <c r="F160" s="2"/>
      <c r="G160" s="2"/>
      <c r="H160" s="2"/>
      <c r="I160" s="2"/>
      <c r="J160" s="2"/>
      <c r="K160" s="2"/>
      <c r="L160" s="2"/>
      <c r="M160" s="2"/>
      <c r="O160" s="2"/>
      <c r="P160" s="2"/>
      <c r="Q160" s="2"/>
      <c r="R160" s="2"/>
      <c r="S160" s="2"/>
      <c r="T160" s="2"/>
      <c r="U160" s="2"/>
      <c r="V160" s="2"/>
      <c r="W160" s="2"/>
      <c r="X160" s="2"/>
      <c r="Y160" s="2"/>
      <c r="Z160" s="2"/>
      <c r="AA160" s="2"/>
      <c r="AB160" s="2"/>
      <c r="AC160" s="2"/>
      <c r="AD160" s="2"/>
      <c r="AE160" s="2"/>
      <c r="AF160" s="2"/>
      <c r="AG160" s="2"/>
      <c r="AH160" s="2"/>
      <c r="AI160" s="2"/>
      <c r="AJ160" s="2"/>
    </row>
    <row r="161" ht="15.75" customHeight="1">
      <c r="A161" s="2"/>
      <c r="B161" s="2"/>
      <c r="C161" s="2"/>
      <c r="D161" s="2"/>
      <c r="E161" s="2"/>
      <c r="F161" s="2"/>
      <c r="G161" s="2"/>
      <c r="H161" s="2"/>
      <c r="I161" s="2"/>
      <c r="J161" s="2"/>
      <c r="K161" s="2"/>
      <c r="L161" s="2"/>
      <c r="M161" s="2"/>
      <c r="O161" s="2"/>
      <c r="P161" s="2"/>
      <c r="Q161" s="2"/>
      <c r="R161" s="2"/>
      <c r="S161" s="2"/>
      <c r="T161" s="2"/>
      <c r="U161" s="2"/>
      <c r="V161" s="2"/>
      <c r="W161" s="2"/>
      <c r="X161" s="2"/>
      <c r="Y161" s="2"/>
      <c r="Z161" s="2"/>
      <c r="AA161" s="2"/>
      <c r="AB161" s="2"/>
      <c r="AC161" s="2"/>
      <c r="AD161" s="2"/>
      <c r="AE161" s="2"/>
      <c r="AF161" s="2"/>
      <c r="AG161" s="2"/>
      <c r="AH161" s="2"/>
      <c r="AI161" s="2"/>
      <c r="AJ161" s="2"/>
    </row>
    <row r="162" ht="15.75" customHeight="1">
      <c r="A162" s="2"/>
      <c r="B162" s="2"/>
      <c r="C162" s="2"/>
      <c r="D162" s="2"/>
      <c r="E162" s="2"/>
      <c r="F162" s="2"/>
      <c r="G162" s="2"/>
      <c r="H162" s="2"/>
      <c r="I162" s="2"/>
      <c r="J162" s="2"/>
      <c r="K162" s="2"/>
      <c r="L162" s="2"/>
      <c r="M162" s="2"/>
      <c r="O162" s="2"/>
      <c r="P162" s="2"/>
      <c r="Q162" s="2"/>
      <c r="R162" s="2"/>
      <c r="S162" s="2"/>
      <c r="T162" s="2"/>
      <c r="U162" s="2"/>
      <c r="V162" s="2"/>
      <c r="W162" s="2"/>
      <c r="X162" s="2"/>
      <c r="Y162" s="2"/>
      <c r="Z162" s="2"/>
      <c r="AA162" s="2"/>
      <c r="AB162" s="2"/>
      <c r="AC162" s="2"/>
      <c r="AD162" s="2"/>
      <c r="AE162" s="2"/>
      <c r="AF162" s="2"/>
      <c r="AG162" s="2"/>
      <c r="AH162" s="2"/>
      <c r="AI162" s="2"/>
      <c r="AJ162" s="2"/>
    </row>
    <row r="163" ht="15.75" customHeight="1">
      <c r="A163" s="2"/>
      <c r="B163" s="2"/>
      <c r="C163" s="2"/>
      <c r="D163" s="2"/>
      <c r="E163" s="2"/>
      <c r="F163" s="2"/>
      <c r="G163" s="2"/>
      <c r="H163" s="2"/>
      <c r="I163" s="2"/>
      <c r="J163" s="2"/>
      <c r="K163" s="2"/>
      <c r="L163" s="2"/>
      <c r="M163" s="2"/>
      <c r="O163" s="2"/>
      <c r="P163" s="2"/>
      <c r="Q163" s="2"/>
      <c r="R163" s="2"/>
      <c r="S163" s="2"/>
      <c r="T163" s="2"/>
      <c r="U163" s="2"/>
      <c r="V163" s="2"/>
      <c r="W163" s="2"/>
      <c r="X163" s="2"/>
      <c r="Y163" s="2"/>
      <c r="Z163" s="2"/>
      <c r="AA163" s="2"/>
      <c r="AB163" s="2"/>
      <c r="AC163" s="2"/>
      <c r="AD163" s="2"/>
      <c r="AE163" s="2"/>
      <c r="AF163" s="2"/>
      <c r="AG163" s="2"/>
      <c r="AH163" s="2"/>
      <c r="AI163" s="2"/>
      <c r="AJ163" s="2"/>
    </row>
    <row r="164" ht="15.75" customHeight="1">
      <c r="A164" s="2"/>
      <c r="B164" s="2"/>
      <c r="C164" s="2"/>
      <c r="D164" s="2"/>
      <c r="E164" s="2"/>
      <c r="F164" s="2"/>
      <c r="G164" s="2"/>
      <c r="H164" s="2"/>
      <c r="I164" s="2"/>
      <c r="J164" s="2"/>
      <c r="K164" s="2"/>
      <c r="L164" s="2"/>
      <c r="M164" s="2"/>
      <c r="O164" s="2"/>
      <c r="P164" s="2"/>
      <c r="Q164" s="2"/>
      <c r="R164" s="2"/>
      <c r="S164" s="2"/>
      <c r="T164" s="2"/>
      <c r="U164" s="2"/>
      <c r="V164" s="2"/>
      <c r="W164" s="2"/>
      <c r="X164" s="2"/>
      <c r="Y164" s="2"/>
      <c r="Z164" s="2"/>
      <c r="AA164" s="2"/>
      <c r="AB164" s="2"/>
      <c r="AC164" s="2"/>
      <c r="AD164" s="2"/>
      <c r="AE164" s="2"/>
      <c r="AF164" s="2"/>
      <c r="AG164" s="2"/>
      <c r="AH164" s="2"/>
      <c r="AI164" s="2"/>
      <c r="AJ164" s="2"/>
    </row>
    <row r="165" ht="15.75" customHeight="1">
      <c r="A165" s="2"/>
      <c r="B165" s="2"/>
      <c r="C165" s="2"/>
      <c r="D165" s="2"/>
      <c r="E165" s="2"/>
      <c r="F165" s="2"/>
      <c r="G165" s="2"/>
      <c r="H165" s="2"/>
      <c r="I165" s="2"/>
      <c r="J165" s="2"/>
      <c r="K165" s="2"/>
      <c r="L165" s="2"/>
      <c r="M165" s="2"/>
      <c r="O165" s="2"/>
      <c r="P165" s="2"/>
      <c r="Q165" s="2"/>
      <c r="R165" s="2"/>
      <c r="S165" s="2"/>
      <c r="T165" s="2"/>
      <c r="U165" s="2"/>
      <c r="V165" s="2"/>
      <c r="W165" s="2"/>
      <c r="X165" s="2"/>
      <c r="Y165" s="2"/>
      <c r="Z165" s="2"/>
      <c r="AA165" s="2"/>
      <c r="AB165" s="2"/>
      <c r="AC165" s="2"/>
      <c r="AD165" s="2"/>
      <c r="AE165" s="2"/>
      <c r="AF165" s="2"/>
      <c r="AG165" s="2"/>
      <c r="AH165" s="2"/>
      <c r="AI165" s="2"/>
      <c r="AJ165" s="2"/>
    </row>
    <row r="166" ht="15.75" customHeight="1">
      <c r="A166" s="2"/>
      <c r="B166" s="2"/>
      <c r="C166" s="2"/>
      <c r="D166" s="2"/>
      <c r="E166" s="2"/>
      <c r="F166" s="2"/>
      <c r="G166" s="2"/>
      <c r="H166" s="2"/>
      <c r="I166" s="2"/>
      <c r="J166" s="2"/>
      <c r="K166" s="2"/>
      <c r="L166" s="2"/>
      <c r="M166" s="2"/>
      <c r="O166" s="2"/>
      <c r="P166" s="2"/>
      <c r="Q166" s="2"/>
      <c r="R166" s="2"/>
      <c r="S166" s="2"/>
      <c r="T166" s="2"/>
      <c r="U166" s="2"/>
      <c r="V166" s="2"/>
      <c r="W166" s="2"/>
      <c r="X166" s="2"/>
      <c r="Y166" s="2"/>
      <c r="Z166" s="2"/>
      <c r="AA166" s="2"/>
      <c r="AB166" s="2"/>
      <c r="AC166" s="2"/>
      <c r="AD166" s="2"/>
      <c r="AE166" s="2"/>
      <c r="AF166" s="2"/>
      <c r="AG166" s="2"/>
      <c r="AH166" s="2"/>
      <c r="AI166" s="2"/>
      <c r="AJ166" s="2"/>
    </row>
    <row r="167" ht="15.75" customHeight="1">
      <c r="A167" s="2"/>
      <c r="B167" s="2"/>
      <c r="C167" s="2"/>
      <c r="D167" s="2"/>
      <c r="E167" s="2"/>
      <c r="F167" s="2"/>
      <c r="G167" s="2"/>
      <c r="H167" s="2"/>
      <c r="I167" s="2"/>
      <c r="J167" s="2"/>
      <c r="K167" s="2"/>
      <c r="L167" s="2"/>
      <c r="M167" s="2"/>
      <c r="O167" s="2"/>
      <c r="P167" s="2"/>
      <c r="Q167" s="2"/>
      <c r="R167" s="2"/>
      <c r="S167" s="2"/>
      <c r="T167" s="2"/>
      <c r="U167" s="2"/>
      <c r="V167" s="2"/>
      <c r="W167" s="2"/>
      <c r="X167" s="2"/>
      <c r="Y167" s="2"/>
      <c r="Z167" s="2"/>
      <c r="AA167" s="2"/>
      <c r="AB167" s="2"/>
      <c r="AC167" s="2"/>
      <c r="AD167" s="2"/>
      <c r="AE167" s="2"/>
      <c r="AF167" s="2"/>
      <c r="AG167" s="2"/>
      <c r="AH167" s="2"/>
      <c r="AI167" s="2"/>
      <c r="AJ167" s="2"/>
    </row>
    <row r="168" ht="15.75" customHeight="1">
      <c r="A168" s="2"/>
      <c r="B168" s="2"/>
      <c r="C168" s="2"/>
      <c r="D168" s="2"/>
      <c r="E168" s="2"/>
      <c r="F168" s="2"/>
      <c r="G168" s="2"/>
      <c r="H168" s="2"/>
      <c r="I168" s="2"/>
      <c r="J168" s="2"/>
      <c r="K168" s="2"/>
      <c r="L168" s="2"/>
      <c r="M168" s="2"/>
      <c r="O168" s="2"/>
      <c r="P168" s="2"/>
      <c r="Q168" s="2"/>
      <c r="R168" s="2"/>
      <c r="S168" s="2"/>
      <c r="T168" s="2"/>
      <c r="U168" s="2"/>
      <c r="V168" s="2"/>
      <c r="W168" s="2"/>
      <c r="X168" s="2"/>
      <c r="Y168" s="2"/>
      <c r="Z168" s="2"/>
      <c r="AA168" s="2"/>
      <c r="AB168" s="2"/>
      <c r="AC168" s="2"/>
      <c r="AD168" s="2"/>
      <c r="AE168" s="2"/>
      <c r="AF168" s="2"/>
      <c r="AG168" s="2"/>
      <c r="AH168" s="2"/>
      <c r="AI168" s="2"/>
      <c r="AJ168" s="2"/>
    </row>
    <row r="169" ht="15.75" customHeight="1">
      <c r="A169" s="2"/>
      <c r="B169" s="2"/>
      <c r="C169" s="2"/>
      <c r="D169" s="2"/>
      <c r="E169" s="2"/>
      <c r="F169" s="2"/>
      <c r="G169" s="2"/>
      <c r="H169" s="2"/>
      <c r="I169" s="2"/>
      <c r="J169" s="2"/>
      <c r="K169" s="2"/>
      <c r="L169" s="2"/>
      <c r="M169" s="2"/>
      <c r="O169" s="2"/>
      <c r="P169" s="2"/>
      <c r="Q169" s="2"/>
      <c r="R169" s="2"/>
      <c r="S169" s="2"/>
      <c r="T169" s="2"/>
      <c r="U169" s="2"/>
      <c r="V169" s="2"/>
      <c r="W169" s="2"/>
      <c r="X169" s="2"/>
      <c r="Y169" s="2"/>
      <c r="Z169" s="2"/>
      <c r="AA169" s="2"/>
      <c r="AB169" s="2"/>
      <c r="AC169" s="2"/>
      <c r="AD169" s="2"/>
      <c r="AE169" s="2"/>
      <c r="AF169" s="2"/>
      <c r="AG169" s="2"/>
      <c r="AH169" s="2"/>
      <c r="AI169" s="2"/>
      <c r="AJ169" s="2"/>
    </row>
    <row r="170" ht="15.75" customHeight="1">
      <c r="A170" s="2"/>
      <c r="B170" s="2"/>
      <c r="C170" s="2"/>
      <c r="D170" s="2"/>
      <c r="E170" s="2"/>
      <c r="F170" s="2"/>
      <c r="G170" s="2"/>
      <c r="H170" s="2"/>
      <c r="I170" s="2"/>
      <c r="J170" s="2"/>
      <c r="K170" s="2"/>
      <c r="L170" s="2"/>
      <c r="M170" s="2"/>
      <c r="O170" s="2"/>
      <c r="P170" s="2"/>
      <c r="Q170" s="2"/>
      <c r="R170" s="2"/>
      <c r="S170" s="2"/>
      <c r="T170" s="2"/>
      <c r="U170" s="2"/>
      <c r="V170" s="2"/>
      <c r="W170" s="2"/>
      <c r="X170" s="2"/>
      <c r="Y170" s="2"/>
      <c r="Z170" s="2"/>
      <c r="AA170" s="2"/>
      <c r="AB170" s="2"/>
      <c r="AC170" s="2"/>
      <c r="AD170" s="2"/>
      <c r="AE170" s="2"/>
      <c r="AF170" s="2"/>
      <c r="AG170" s="2"/>
      <c r="AH170" s="2"/>
      <c r="AI170" s="2"/>
      <c r="AJ170" s="2"/>
    </row>
    <row r="171" ht="15.75" customHeight="1">
      <c r="A171" s="2"/>
      <c r="B171" s="2"/>
      <c r="C171" s="2"/>
      <c r="D171" s="2"/>
      <c r="E171" s="2"/>
      <c r="F171" s="2"/>
      <c r="G171" s="2"/>
      <c r="H171" s="2"/>
      <c r="I171" s="2"/>
      <c r="J171" s="2"/>
      <c r="K171" s="2"/>
      <c r="L171" s="2"/>
      <c r="M171" s="2"/>
      <c r="O171" s="2"/>
      <c r="P171" s="2"/>
      <c r="Q171" s="2"/>
      <c r="R171" s="2"/>
      <c r="S171" s="2"/>
      <c r="T171" s="2"/>
      <c r="U171" s="2"/>
      <c r="V171" s="2"/>
      <c r="W171" s="2"/>
      <c r="X171" s="2"/>
      <c r="Y171" s="2"/>
      <c r="Z171" s="2"/>
      <c r="AA171" s="2"/>
      <c r="AB171" s="2"/>
      <c r="AC171" s="2"/>
      <c r="AD171" s="2"/>
      <c r="AE171" s="2"/>
      <c r="AF171" s="2"/>
      <c r="AG171" s="2"/>
      <c r="AH171" s="2"/>
      <c r="AI171" s="2"/>
      <c r="AJ171" s="2"/>
    </row>
    <row r="172" ht="15.75" customHeight="1">
      <c r="A172" s="2"/>
      <c r="B172" s="2"/>
      <c r="C172" s="2"/>
      <c r="D172" s="2"/>
      <c r="E172" s="2"/>
      <c r="F172" s="2"/>
      <c r="G172" s="2"/>
      <c r="H172" s="2"/>
      <c r="I172" s="2"/>
      <c r="J172" s="2"/>
      <c r="K172" s="2"/>
      <c r="L172" s="2"/>
      <c r="M172" s="2"/>
      <c r="O172" s="2"/>
      <c r="P172" s="2"/>
      <c r="Q172" s="2"/>
      <c r="R172" s="2"/>
      <c r="S172" s="2"/>
      <c r="T172" s="2"/>
      <c r="U172" s="2"/>
      <c r="V172" s="2"/>
      <c r="W172" s="2"/>
      <c r="X172" s="2"/>
      <c r="Y172" s="2"/>
      <c r="Z172" s="2"/>
      <c r="AA172" s="2"/>
      <c r="AB172" s="2"/>
      <c r="AC172" s="2"/>
      <c r="AD172" s="2"/>
      <c r="AE172" s="2"/>
      <c r="AF172" s="2"/>
      <c r="AG172" s="2"/>
      <c r="AH172" s="2"/>
      <c r="AI172" s="2"/>
      <c r="AJ172" s="2"/>
    </row>
    <row r="173" ht="15.75" customHeight="1">
      <c r="A173" s="2"/>
      <c r="B173" s="2"/>
      <c r="C173" s="2"/>
      <c r="D173" s="2"/>
      <c r="E173" s="2"/>
      <c r="F173" s="2"/>
      <c r="G173" s="2"/>
      <c r="H173" s="2"/>
      <c r="I173" s="2"/>
      <c r="J173" s="2"/>
      <c r="K173" s="2"/>
      <c r="L173" s="2"/>
      <c r="M173" s="2"/>
      <c r="O173" s="2"/>
      <c r="P173" s="2"/>
      <c r="Q173" s="2"/>
      <c r="R173" s="2"/>
      <c r="S173" s="2"/>
      <c r="T173" s="2"/>
      <c r="U173" s="2"/>
      <c r="V173" s="2"/>
      <c r="W173" s="2"/>
      <c r="X173" s="2"/>
      <c r="Y173" s="2"/>
      <c r="Z173" s="2"/>
      <c r="AA173" s="2"/>
      <c r="AB173" s="2"/>
      <c r="AC173" s="2"/>
      <c r="AD173" s="2"/>
      <c r="AE173" s="2"/>
      <c r="AF173" s="2"/>
      <c r="AG173" s="2"/>
      <c r="AH173" s="2"/>
      <c r="AI173" s="2"/>
      <c r="AJ173" s="2"/>
    </row>
    <row r="174" ht="15.75" customHeight="1">
      <c r="A174" s="2"/>
      <c r="B174" s="2"/>
      <c r="C174" s="2"/>
      <c r="D174" s="2"/>
      <c r="E174" s="2"/>
      <c r="F174" s="2"/>
      <c r="G174" s="2"/>
      <c r="H174" s="2"/>
      <c r="I174" s="2"/>
      <c r="J174" s="2"/>
      <c r="K174" s="2"/>
      <c r="L174" s="2"/>
      <c r="M174" s="2"/>
      <c r="O174" s="2"/>
      <c r="P174" s="2"/>
      <c r="Q174" s="2"/>
      <c r="R174" s="2"/>
      <c r="S174" s="2"/>
      <c r="T174" s="2"/>
      <c r="U174" s="2"/>
      <c r="V174" s="2"/>
      <c r="W174" s="2"/>
      <c r="X174" s="2"/>
      <c r="Y174" s="2"/>
      <c r="Z174" s="2"/>
      <c r="AA174" s="2"/>
      <c r="AB174" s="2"/>
      <c r="AC174" s="2"/>
      <c r="AD174" s="2"/>
      <c r="AE174" s="2"/>
      <c r="AF174" s="2"/>
      <c r="AG174" s="2"/>
      <c r="AH174" s="2"/>
      <c r="AI174" s="2"/>
      <c r="AJ174" s="2"/>
    </row>
    <row r="175" ht="15.75" customHeight="1">
      <c r="A175" s="2"/>
      <c r="B175" s="2"/>
      <c r="C175" s="2"/>
      <c r="D175" s="2"/>
      <c r="E175" s="2"/>
      <c r="F175" s="2"/>
      <c r="G175" s="2"/>
      <c r="H175" s="2"/>
      <c r="I175" s="2"/>
      <c r="J175" s="2"/>
      <c r="K175" s="2"/>
      <c r="L175" s="2"/>
      <c r="M175" s="2"/>
      <c r="O175" s="2"/>
      <c r="P175" s="2"/>
      <c r="Q175" s="2"/>
      <c r="R175" s="2"/>
      <c r="S175" s="2"/>
      <c r="T175" s="2"/>
      <c r="U175" s="2"/>
      <c r="V175" s="2"/>
      <c r="W175" s="2"/>
      <c r="X175" s="2"/>
      <c r="Y175" s="2"/>
      <c r="Z175" s="2"/>
      <c r="AA175" s="2"/>
      <c r="AB175" s="2"/>
      <c r="AC175" s="2"/>
      <c r="AD175" s="2"/>
      <c r="AE175" s="2"/>
      <c r="AF175" s="2"/>
      <c r="AG175" s="2"/>
      <c r="AH175" s="2"/>
      <c r="AI175" s="2"/>
      <c r="AJ175" s="2"/>
    </row>
    <row r="176" ht="15.75" customHeight="1">
      <c r="A176" s="2"/>
      <c r="B176" s="2"/>
      <c r="C176" s="2"/>
      <c r="D176" s="2"/>
      <c r="E176" s="2"/>
      <c r="F176" s="2"/>
      <c r="G176" s="2"/>
      <c r="H176" s="2"/>
      <c r="I176" s="2"/>
      <c r="J176" s="2"/>
      <c r="K176" s="2"/>
      <c r="L176" s="2"/>
      <c r="M176" s="2"/>
      <c r="O176" s="2"/>
      <c r="P176" s="2"/>
      <c r="Q176" s="2"/>
      <c r="R176" s="2"/>
      <c r="S176" s="2"/>
      <c r="T176" s="2"/>
      <c r="U176" s="2"/>
      <c r="V176" s="2"/>
      <c r="W176" s="2"/>
      <c r="X176" s="2"/>
      <c r="Y176" s="2"/>
      <c r="Z176" s="2"/>
      <c r="AA176" s="2"/>
      <c r="AB176" s="2"/>
      <c r="AC176" s="2"/>
      <c r="AD176" s="2"/>
      <c r="AE176" s="2"/>
      <c r="AF176" s="2"/>
      <c r="AG176" s="2"/>
      <c r="AH176" s="2"/>
      <c r="AI176" s="2"/>
      <c r="AJ176" s="2"/>
    </row>
    <row r="177" ht="15.75" customHeight="1">
      <c r="A177" s="2"/>
      <c r="B177" s="2"/>
      <c r="C177" s="2"/>
      <c r="D177" s="2"/>
      <c r="E177" s="2"/>
      <c r="F177" s="2"/>
      <c r="G177" s="2"/>
      <c r="H177" s="2"/>
      <c r="I177" s="2"/>
      <c r="J177" s="2"/>
      <c r="K177" s="2"/>
      <c r="L177" s="2"/>
      <c r="M177" s="2"/>
      <c r="O177" s="2"/>
      <c r="P177" s="2"/>
      <c r="Q177" s="2"/>
      <c r="R177" s="2"/>
      <c r="S177" s="2"/>
      <c r="T177" s="2"/>
      <c r="U177" s="2"/>
      <c r="V177" s="2"/>
      <c r="W177" s="2"/>
      <c r="X177" s="2"/>
      <c r="Y177" s="2"/>
      <c r="Z177" s="2"/>
      <c r="AA177" s="2"/>
      <c r="AB177" s="2"/>
      <c r="AC177" s="2"/>
      <c r="AD177" s="2"/>
      <c r="AE177" s="2"/>
      <c r="AF177" s="2"/>
      <c r="AG177" s="2"/>
      <c r="AH177" s="2"/>
      <c r="AI177" s="2"/>
      <c r="AJ177" s="2"/>
    </row>
    <row r="178" ht="15.75" customHeight="1">
      <c r="A178" s="2"/>
      <c r="B178" s="2"/>
      <c r="C178" s="2"/>
      <c r="D178" s="2"/>
      <c r="E178" s="2"/>
      <c r="F178" s="2"/>
      <c r="G178" s="2"/>
      <c r="H178" s="2"/>
      <c r="I178" s="2"/>
      <c r="J178" s="2"/>
      <c r="K178" s="2"/>
      <c r="L178" s="2"/>
      <c r="M178" s="2"/>
      <c r="O178" s="2"/>
      <c r="P178" s="2"/>
      <c r="Q178" s="2"/>
      <c r="R178" s="2"/>
      <c r="S178" s="2"/>
      <c r="T178" s="2"/>
      <c r="U178" s="2"/>
      <c r="V178" s="2"/>
      <c r="W178" s="2"/>
      <c r="X178" s="2"/>
      <c r="Y178" s="2"/>
      <c r="Z178" s="2"/>
      <c r="AA178" s="2"/>
      <c r="AB178" s="2"/>
      <c r="AC178" s="2"/>
      <c r="AD178" s="2"/>
      <c r="AE178" s="2"/>
      <c r="AF178" s="2"/>
      <c r="AG178" s="2"/>
      <c r="AH178" s="2"/>
      <c r="AI178" s="2"/>
      <c r="AJ178" s="2"/>
    </row>
    <row r="179" ht="15.75" customHeight="1">
      <c r="A179" s="2"/>
      <c r="B179" s="2"/>
      <c r="C179" s="2"/>
      <c r="D179" s="2"/>
      <c r="E179" s="2"/>
      <c r="F179" s="2"/>
      <c r="G179" s="2"/>
      <c r="H179" s="2"/>
      <c r="I179" s="2"/>
      <c r="J179" s="2"/>
      <c r="K179" s="2"/>
      <c r="L179" s="2"/>
      <c r="M179" s="2"/>
      <c r="O179" s="2"/>
      <c r="P179" s="2"/>
      <c r="Q179" s="2"/>
      <c r="R179" s="2"/>
      <c r="S179" s="2"/>
      <c r="T179" s="2"/>
      <c r="U179" s="2"/>
      <c r="V179" s="2"/>
      <c r="W179" s="2"/>
      <c r="X179" s="2"/>
      <c r="Y179" s="2"/>
      <c r="Z179" s="2"/>
      <c r="AA179" s="2"/>
      <c r="AB179" s="2"/>
      <c r="AC179" s="2"/>
      <c r="AD179" s="2"/>
      <c r="AE179" s="2"/>
      <c r="AF179" s="2"/>
      <c r="AG179" s="2"/>
      <c r="AH179" s="2"/>
      <c r="AI179" s="2"/>
      <c r="AJ179" s="2"/>
    </row>
    <row r="180" ht="15.75" customHeight="1">
      <c r="A180" s="2"/>
      <c r="B180" s="2"/>
      <c r="C180" s="2"/>
      <c r="D180" s="2"/>
      <c r="E180" s="2"/>
      <c r="F180" s="2"/>
      <c r="G180" s="2"/>
      <c r="H180" s="2"/>
      <c r="I180" s="2"/>
      <c r="J180" s="2"/>
      <c r="K180" s="2"/>
      <c r="L180" s="2"/>
      <c r="M180" s="2"/>
      <c r="O180" s="2"/>
      <c r="P180" s="2"/>
      <c r="Q180" s="2"/>
      <c r="R180" s="2"/>
      <c r="S180" s="2"/>
      <c r="T180" s="2"/>
      <c r="U180" s="2"/>
      <c r="V180" s="2"/>
      <c r="W180" s="2"/>
      <c r="X180" s="2"/>
      <c r="Y180" s="2"/>
      <c r="Z180" s="2"/>
      <c r="AA180" s="2"/>
      <c r="AB180" s="2"/>
      <c r="AC180" s="2"/>
      <c r="AD180" s="2"/>
      <c r="AE180" s="2"/>
      <c r="AF180" s="2"/>
      <c r="AG180" s="2"/>
      <c r="AH180" s="2"/>
      <c r="AI180" s="2"/>
      <c r="AJ180" s="2"/>
    </row>
    <row r="181" ht="15.75" customHeight="1">
      <c r="A181" s="2"/>
      <c r="B181" s="2"/>
      <c r="C181" s="2"/>
      <c r="D181" s="2"/>
      <c r="E181" s="2"/>
      <c r="F181" s="2"/>
      <c r="G181" s="2"/>
      <c r="H181" s="2"/>
      <c r="I181" s="2"/>
      <c r="J181" s="2"/>
      <c r="K181" s="2"/>
      <c r="L181" s="2"/>
      <c r="M181" s="2"/>
      <c r="O181" s="2"/>
      <c r="P181" s="2"/>
      <c r="Q181" s="2"/>
      <c r="R181" s="2"/>
      <c r="S181" s="2"/>
      <c r="T181" s="2"/>
      <c r="U181" s="2"/>
      <c r="V181" s="2"/>
      <c r="W181" s="2"/>
      <c r="X181" s="2"/>
      <c r="Y181" s="2"/>
      <c r="Z181" s="2"/>
      <c r="AA181" s="2"/>
      <c r="AB181" s="2"/>
      <c r="AC181" s="2"/>
      <c r="AD181" s="2"/>
      <c r="AE181" s="2"/>
      <c r="AF181" s="2"/>
      <c r="AG181" s="2"/>
      <c r="AH181" s="2"/>
      <c r="AI181" s="2"/>
      <c r="AJ181" s="2"/>
    </row>
    <row r="182" ht="15.75" customHeight="1">
      <c r="A182" s="2"/>
      <c r="B182" s="2"/>
      <c r="C182" s="2"/>
      <c r="D182" s="2"/>
      <c r="E182" s="2"/>
      <c r="F182" s="2"/>
      <c r="G182" s="2"/>
      <c r="H182" s="2"/>
      <c r="I182" s="2"/>
      <c r="J182" s="2"/>
      <c r="K182" s="2"/>
      <c r="L182" s="2"/>
      <c r="M182" s="2"/>
      <c r="O182" s="2"/>
      <c r="P182" s="2"/>
      <c r="Q182" s="2"/>
      <c r="R182" s="2"/>
      <c r="S182" s="2"/>
      <c r="T182" s="2"/>
      <c r="U182" s="2"/>
      <c r="V182" s="2"/>
      <c r="W182" s="2"/>
      <c r="X182" s="2"/>
      <c r="Y182" s="2"/>
      <c r="Z182" s="2"/>
      <c r="AA182" s="2"/>
      <c r="AB182" s="2"/>
      <c r="AC182" s="2"/>
      <c r="AD182" s="2"/>
      <c r="AE182" s="2"/>
      <c r="AF182" s="2"/>
      <c r="AG182" s="2"/>
      <c r="AH182" s="2"/>
      <c r="AI182" s="2"/>
      <c r="AJ182" s="2"/>
    </row>
    <row r="183" ht="15.75" customHeight="1">
      <c r="A183" s="2"/>
      <c r="B183" s="2"/>
      <c r="C183" s="2"/>
      <c r="D183" s="2"/>
      <c r="E183" s="2"/>
      <c r="F183" s="2"/>
      <c r="G183" s="2"/>
      <c r="H183" s="2"/>
      <c r="I183" s="2"/>
      <c r="J183" s="2"/>
      <c r="K183" s="2"/>
      <c r="L183" s="2"/>
      <c r="M183" s="2"/>
      <c r="O183" s="2"/>
      <c r="P183" s="2"/>
      <c r="Q183" s="2"/>
      <c r="R183" s="2"/>
      <c r="S183" s="2"/>
      <c r="T183" s="2"/>
      <c r="U183" s="2"/>
      <c r="V183" s="2"/>
      <c r="W183" s="2"/>
      <c r="X183" s="2"/>
      <c r="Y183" s="2"/>
      <c r="Z183" s="2"/>
      <c r="AA183" s="2"/>
      <c r="AB183" s="2"/>
      <c r="AC183" s="2"/>
      <c r="AD183" s="2"/>
      <c r="AE183" s="2"/>
      <c r="AF183" s="2"/>
      <c r="AG183" s="2"/>
      <c r="AH183" s="2"/>
      <c r="AI183" s="2"/>
      <c r="AJ183" s="2"/>
    </row>
    <row r="184" ht="15.75" customHeight="1">
      <c r="A184" s="2"/>
      <c r="B184" s="2"/>
      <c r="C184" s="2"/>
      <c r="D184" s="2"/>
      <c r="E184" s="2"/>
      <c r="F184" s="2"/>
      <c r="G184" s="2"/>
      <c r="H184" s="2"/>
      <c r="I184" s="2"/>
      <c r="J184" s="2"/>
      <c r="K184" s="2"/>
      <c r="L184" s="2"/>
      <c r="M184" s="2"/>
      <c r="O184" s="2"/>
      <c r="P184" s="2"/>
      <c r="Q184" s="2"/>
      <c r="R184" s="2"/>
      <c r="S184" s="2"/>
      <c r="T184" s="2"/>
      <c r="U184" s="2"/>
      <c r="V184" s="2"/>
      <c r="W184" s="2"/>
      <c r="X184" s="2"/>
      <c r="Y184" s="2"/>
      <c r="Z184" s="2"/>
      <c r="AA184" s="2"/>
      <c r="AB184" s="2"/>
      <c r="AC184" s="2"/>
      <c r="AD184" s="2"/>
      <c r="AE184" s="2"/>
      <c r="AF184" s="2"/>
      <c r="AG184" s="2"/>
      <c r="AH184" s="2"/>
      <c r="AI184" s="2"/>
      <c r="AJ184" s="2"/>
    </row>
    <row r="185" ht="15.75" customHeight="1">
      <c r="A185" s="2"/>
      <c r="B185" s="2"/>
      <c r="C185" s="2"/>
      <c r="D185" s="2"/>
      <c r="E185" s="2"/>
      <c r="F185" s="2"/>
      <c r="G185" s="2"/>
      <c r="H185" s="2"/>
      <c r="I185" s="2"/>
      <c r="J185" s="2"/>
      <c r="K185" s="2"/>
      <c r="L185" s="2"/>
      <c r="M185" s="2"/>
      <c r="O185" s="2"/>
      <c r="P185" s="2"/>
      <c r="Q185" s="2"/>
      <c r="R185" s="2"/>
      <c r="S185" s="2"/>
      <c r="T185" s="2"/>
      <c r="U185" s="2"/>
      <c r="V185" s="2"/>
      <c r="W185" s="2"/>
      <c r="X185" s="2"/>
      <c r="Y185" s="2"/>
      <c r="Z185" s="2"/>
      <c r="AA185" s="2"/>
      <c r="AB185" s="2"/>
      <c r="AC185" s="2"/>
      <c r="AD185" s="2"/>
      <c r="AE185" s="2"/>
      <c r="AF185" s="2"/>
      <c r="AG185" s="2"/>
      <c r="AH185" s="2"/>
      <c r="AI185" s="2"/>
      <c r="AJ185" s="2"/>
    </row>
    <row r="186" ht="15.75" customHeight="1">
      <c r="A186" s="2"/>
      <c r="B186" s="2"/>
      <c r="C186" s="2"/>
      <c r="D186" s="2"/>
      <c r="E186" s="2"/>
      <c r="F186" s="2"/>
      <c r="G186" s="2"/>
      <c r="H186" s="2"/>
      <c r="I186" s="2"/>
      <c r="J186" s="2"/>
      <c r="K186" s="2"/>
      <c r="L186" s="2"/>
      <c r="M186" s="2"/>
      <c r="O186" s="2"/>
      <c r="P186" s="2"/>
      <c r="Q186" s="2"/>
      <c r="R186" s="2"/>
      <c r="S186" s="2"/>
      <c r="T186" s="2"/>
      <c r="U186" s="2"/>
      <c r="V186" s="2"/>
      <c r="W186" s="2"/>
      <c r="X186" s="2"/>
      <c r="Y186" s="2"/>
      <c r="Z186" s="2"/>
      <c r="AA186" s="2"/>
      <c r="AB186" s="2"/>
      <c r="AC186" s="2"/>
      <c r="AD186" s="2"/>
      <c r="AE186" s="2"/>
      <c r="AF186" s="2"/>
      <c r="AG186" s="2"/>
      <c r="AH186" s="2"/>
      <c r="AI186" s="2"/>
      <c r="AJ186" s="2"/>
    </row>
    <row r="187" ht="15.75" customHeight="1">
      <c r="A187" s="2"/>
      <c r="B187" s="2"/>
      <c r="C187" s="2"/>
      <c r="D187" s="2"/>
      <c r="E187" s="2"/>
      <c r="F187" s="2"/>
      <c r="G187" s="2"/>
      <c r="H187" s="2"/>
      <c r="I187" s="2"/>
      <c r="J187" s="2"/>
      <c r="K187" s="2"/>
      <c r="L187" s="2"/>
      <c r="M187" s="2"/>
      <c r="O187" s="2"/>
      <c r="P187" s="2"/>
      <c r="Q187" s="2"/>
      <c r="R187" s="2"/>
      <c r="S187" s="2"/>
      <c r="T187" s="2"/>
      <c r="U187" s="2"/>
      <c r="V187" s="2"/>
      <c r="W187" s="2"/>
      <c r="X187" s="2"/>
      <c r="Y187" s="2"/>
      <c r="Z187" s="2"/>
      <c r="AA187" s="2"/>
      <c r="AB187" s="2"/>
      <c r="AC187" s="2"/>
      <c r="AD187" s="2"/>
      <c r="AE187" s="2"/>
      <c r="AF187" s="2"/>
      <c r="AG187" s="2"/>
      <c r="AH187" s="2"/>
      <c r="AI187" s="2"/>
      <c r="AJ187" s="2"/>
    </row>
    <row r="188" ht="15.75" customHeight="1">
      <c r="A188" s="2"/>
      <c r="B188" s="2"/>
      <c r="C188" s="2"/>
      <c r="D188" s="2"/>
      <c r="E188" s="2"/>
      <c r="F188" s="2"/>
      <c r="G188" s="2"/>
      <c r="H188" s="2"/>
      <c r="I188" s="2"/>
      <c r="J188" s="2"/>
      <c r="K188" s="2"/>
      <c r="L188" s="2"/>
      <c r="M188" s="2"/>
      <c r="O188" s="2"/>
      <c r="P188" s="2"/>
      <c r="Q188" s="2"/>
      <c r="R188" s="2"/>
      <c r="S188" s="2"/>
      <c r="T188" s="2"/>
      <c r="U188" s="2"/>
      <c r="V188" s="2"/>
      <c r="W188" s="2"/>
      <c r="X188" s="2"/>
      <c r="Y188" s="2"/>
      <c r="Z188" s="2"/>
      <c r="AA188" s="2"/>
      <c r="AB188" s="2"/>
      <c r="AC188" s="2"/>
      <c r="AD188" s="2"/>
      <c r="AE188" s="2"/>
      <c r="AF188" s="2"/>
      <c r="AG188" s="2"/>
      <c r="AH188" s="2"/>
      <c r="AI188" s="2"/>
      <c r="AJ188" s="2"/>
    </row>
    <row r="189" ht="15.75" customHeight="1">
      <c r="A189" s="2"/>
      <c r="B189" s="2"/>
      <c r="C189" s="2"/>
      <c r="D189" s="2"/>
      <c r="E189" s="2"/>
      <c r="F189" s="2"/>
      <c r="G189" s="2"/>
      <c r="H189" s="2"/>
      <c r="I189" s="2"/>
      <c r="J189" s="2"/>
      <c r="K189" s="2"/>
      <c r="L189" s="2"/>
      <c r="M189" s="2"/>
      <c r="O189" s="2"/>
      <c r="P189" s="2"/>
      <c r="Q189" s="2"/>
      <c r="R189" s="2"/>
      <c r="S189" s="2"/>
      <c r="T189" s="2"/>
      <c r="U189" s="2"/>
      <c r="V189" s="2"/>
      <c r="W189" s="2"/>
      <c r="X189" s="2"/>
      <c r="Y189" s="2"/>
      <c r="Z189" s="2"/>
      <c r="AA189" s="2"/>
      <c r="AB189" s="2"/>
      <c r="AC189" s="2"/>
      <c r="AD189" s="2"/>
      <c r="AE189" s="2"/>
      <c r="AF189" s="2"/>
      <c r="AG189" s="2"/>
      <c r="AH189" s="2"/>
      <c r="AI189" s="2"/>
      <c r="AJ189" s="2"/>
    </row>
    <row r="190" ht="15.75" customHeight="1">
      <c r="A190" s="2"/>
      <c r="B190" s="2"/>
      <c r="C190" s="2"/>
      <c r="D190" s="2"/>
      <c r="E190" s="2"/>
      <c r="F190" s="2"/>
      <c r="G190" s="2"/>
      <c r="H190" s="2"/>
      <c r="I190" s="2"/>
      <c r="J190" s="2"/>
      <c r="K190" s="2"/>
      <c r="L190" s="2"/>
      <c r="M190" s="2"/>
      <c r="O190" s="2"/>
      <c r="P190" s="2"/>
      <c r="Q190" s="2"/>
      <c r="R190" s="2"/>
      <c r="S190" s="2"/>
      <c r="T190" s="2"/>
      <c r="U190" s="2"/>
      <c r="V190" s="2"/>
      <c r="W190" s="2"/>
      <c r="X190" s="2"/>
      <c r="Y190" s="2"/>
      <c r="Z190" s="2"/>
      <c r="AA190" s="2"/>
      <c r="AB190" s="2"/>
      <c r="AC190" s="2"/>
      <c r="AD190" s="2"/>
      <c r="AE190" s="2"/>
      <c r="AF190" s="2"/>
      <c r="AG190" s="2"/>
      <c r="AH190" s="2"/>
      <c r="AI190" s="2"/>
      <c r="AJ190" s="2"/>
    </row>
    <row r="191" ht="15.75" customHeight="1">
      <c r="A191" s="2"/>
      <c r="B191" s="2"/>
      <c r="C191" s="2"/>
      <c r="D191" s="2"/>
      <c r="E191" s="2"/>
      <c r="F191" s="2"/>
      <c r="G191" s="2"/>
      <c r="H191" s="2"/>
      <c r="I191" s="2"/>
      <c r="J191" s="2"/>
      <c r="K191" s="2"/>
      <c r="L191" s="2"/>
      <c r="M191" s="2"/>
      <c r="O191" s="2"/>
      <c r="P191" s="2"/>
      <c r="Q191" s="2"/>
      <c r="R191" s="2"/>
      <c r="S191" s="2"/>
      <c r="T191" s="2"/>
      <c r="U191" s="2"/>
      <c r="V191" s="2"/>
      <c r="W191" s="2"/>
      <c r="X191" s="2"/>
      <c r="Y191" s="2"/>
      <c r="Z191" s="2"/>
      <c r="AA191" s="2"/>
      <c r="AB191" s="2"/>
      <c r="AC191" s="2"/>
      <c r="AD191" s="2"/>
      <c r="AE191" s="2"/>
      <c r="AF191" s="2"/>
      <c r="AG191" s="2"/>
      <c r="AH191" s="2"/>
      <c r="AI191" s="2"/>
      <c r="AJ191" s="2"/>
    </row>
    <row r="192" ht="15.75" customHeight="1">
      <c r="A192" s="2"/>
      <c r="B192" s="2"/>
      <c r="C192" s="2"/>
      <c r="D192" s="2"/>
      <c r="E192" s="2"/>
      <c r="F192" s="2"/>
      <c r="G192" s="2"/>
      <c r="H192" s="2"/>
      <c r="I192" s="2"/>
      <c r="J192" s="2"/>
      <c r="K192" s="2"/>
      <c r="L192" s="2"/>
      <c r="M192" s="2"/>
      <c r="O192" s="2"/>
      <c r="P192" s="2"/>
      <c r="Q192" s="2"/>
      <c r="R192" s="2"/>
      <c r="S192" s="2"/>
      <c r="T192" s="2"/>
      <c r="U192" s="2"/>
      <c r="V192" s="2"/>
      <c r="W192" s="2"/>
      <c r="X192" s="2"/>
      <c r="Y192" s="2"/>
      <c r="Z192" s="2"/>
      <c r="AA192" s="2"/>
      <c r="AB192" s="2"/>
      <c r="AC192" s="2"/>
      <c r="AD192" s="2"/>
      <c r="AE192" s="2"/>
      <c r="AF192" s="2"/>
      <c r="AG192" s="2"/>
      <c r="AH192" s="2"/>
      <c r="AI192" s="2"/>
      <c r="AJ192" s="2"/>
    </row>
    <row r="193" ht="15.75" customHeight="1">
      <c r="A193" s="2"/>
      <c r="B193" s="2"/>
      <c r="C193" s="2"/>
      <c r="D193" s="2"/>
      <c r="E193" s="2"/>
      <c r="F193" s="2"/>
      <c r="G193" s="2"/>
      <c r="H193" s="2"/>
      <c r="I193" s="2"/>
      <c r="J193" s="2"/>
      <c r="K193" s="2"/>
      <c r="L193" s="2"/>
      <c r="M193" s="2"/>
      <c r="O193" s="2"/>
      <c r="P193" s="2"/>
      <c r="Q193" s="2"/>
      <c r="R193" s="2"/>
      <c r="S193" s="2"/>
      <c r="T193" s="2"/>
      <c r="U193" s="2"/>
      <c r="V193" s="2"/>
      <c r="W193" s="2"/>
      <c r="X193" s="2"/>
      <c r="Y193" s="2"/>
      <c r="Z193" s="2"/>
      <c r="AA193" s="2"/>
      <c r="AB193" s="2"/>
      <c r="AC193" s="2"/>
      <c r="AD193" s="2"/>
      <c r="AE193" s="2"/>
      <c r="AF193" s="2"/>
      <c r="AG193" s="2"/>
      <c r="AH193" s="2"/>
      <c r="AI193" s="2"/>
      <c r="AJ193" s="2"/>
    </row>
    <row r="194" ht="15.75" customHeight="1">
      <c r="A194" s="2"/>
      <c r="B194" s="2"/>
      <c r="C194" s="2"/>
      <c r="D194" s="2"/>
      <c r="E194" s="2"/>
      <c r="F194" s="2"/>
      <c r="G194" s="2"/>
      <c r="H194" s="2"/>
      <c r="I194" s="2"/>
      <c r="J194" s="2"/>
      <c r="K194" s="2"/>
      <c r="L194" s="2"/>
      <c r="M194" s="2"/>
      <c r="O194" s="2"/>
      <c r="P194" s="2"/>
      <c r="Q194" s="2"/>
      <c r="R194" s="2"/>
      <c r="S194" s="2"/>
      <c r="T194" s="2"/>
      <c r="U194" s="2"/>
      <c r="V194" s="2"/>
      <c r="W194" s="2"/>
      <c r="X194" s="2"/>
      <c r="Y194" s="2"/>
      <c r="Z194" s="2"/>
      <c r="AA194" s="2"/>
      <c r="AB194" s="2"/>
      <c r="AC194" s="2"/>
      <c r="AD194" s="2"/>
      <c r="AE194" s="2"/>
      <c r="AF194" s="2"/>
      <c r="AG194" s="2"/>
      <c r="AH194" s="2"/>
      <c r="AI194" s="2"/>
      <c r="AJ194" s="2"/>
    </row>
    <row r="195" ht="15.75" customHeight="1">
      <c r="A195" s="2"/>
      <c r="B195" s="2"/>
      <c r="C195" s="2"/>
      <c r="D195" s="2"/>
      <c r="E195" s="2"/>
      <c r="F195" s="2"/>
      <c r="G195" s="2"/>
      <c r="H195" s="2"/>
      <c r="I195" s="2"/>
      <c r="J195" s="2"/>
      <c r="K195" s="2"/>
      <c r="L195" s="2"/>
      <c r="M195" s="2"/>
      <c r="O195" s="2"/>
      <c r="P195" s="2"/>
      <c r="Q195" s="2"/>
      <c r="R195" s="2"/>
      <c r="S195" s="2"/>
      <c r="T195" s="2"/>
      <c r="U195" s="2"/>
      <c r="V195" s="2"/>
      <c r="W195" s="2"/>
      <c r="X195" s="2"/>
      <c r="Y195" s="2"/>
      <c r="Z195" s="2"/>
      <c r="AA195" s="2"/>
      <c r="AB195" s="2"/>
      <c r="AC195" s="2"/>
      <c r="AD195" s="2"/>
      <c r="AE195" s="2"/>
      <c r="AF195" s="2"/>
      <c r="AG195" s="2"/>
      <c r="AH195" s="2"/>
      <c r="AI195" s="2"/>
      <c r="AJ195" s="2"/>
    </row>
    <row r="196" ht="15.75" customHeight="1">
      <c r="A196" s="2"/>
      <c r="B196" s="2"/>
      <c r="C196" s="2"/>
      <c r="D196" s="2"/>
      <c r="E196" s="2"/>
      <c r="F196" s="2"/>
      <c r="G196" s="2"/>
      <c r="H196" s="2"/>
      <c r="I196" s="2"/>
      <c r="J196" s="2"/>
      <c r="K196" s="2"/>
      <c r="L196" s="2"/>
      <c r="M196" s="2"/>
      <c r="O196" s="2"/>
      <c r="P196" s="2"/>
      <c r="Q196" s="2"/>
      <c r="R196" s="2"/>
      <c r="S196" s="2"/>
      <c r="T196" s="2"/>
      <c r="U196" s="2"/>
      <c r="V196" s="2"/>
      <c r="W196" s="2"/>
      <c r="X196" s="2"/>
      <c r="Y196" s="2"/>
      <c r="Z196" s="2"/>
      <c r="AA196" s="2"/>
      <c r="AB196" s="2"/>
      <c r="AC196" s="2"/>
      <c r="AD196" s="2"/>
      <c r="AE196" s="2"/>
      <c r="AF196" s="2"/>
      <c r="AG196" s="2"/>
      <c r="AH196" s="2"/>
      <c r="AI196" s="2"/>
      <c r="AJ196" s="2"/>
    </row>
    <row r="197" ht="15.75" customHeight="1">
      <c r="A197" s="2"/>
      <c r="B197" s="2"/>
      <c r="C197" s="2"/>
      <c r="D197" s="2"/>
      <c r="E197" s="2"/>
      <c r="F197" s="2"/>
      <c r="G197" s="2"/>
      <c r="H197" s="2"/>
      <c r="I197" s="2"/>
      <c r="J197" s="2"/>
      <c r="K197" s="2"/>
      <c r="L197" s="2"/>
      <c r="M197" s="2"/>
      <c r="O197" s="2"/>
      <c r="P197" s="2"/>
      <c r="Q197" s="2"/>
      <c r="R197" s="2"/>
      <c r="S197" s="2"/>
      <c r="T197" s="2"/>
      <c r="U197" s="2"/>
      <c r="V197" s="2"/>
      <c r="W197" s="2"/>
      <c r="X197" s="2"/>
      <c r="Y197" s="2"/>
      <c r="Z197" s="2"/>
      <c r="AA197" s="2"/>
      <c r="AB197" s="2"/>
      <c r="AC197" s="2"/>
      <c r="AD197" s="2"/>
      <c r="AE197" s="2"/>
      <c r="AF197" s="2"/>
      <c r="AG197" s="2"/>
      <c r="AH197" s="2"/>
      <c r="AI197" s="2"/>
      <c r="AJ197" s="2"/>
    </row>
    <row r="198" ht="15.75" customHeight="1">
      <c r="A198" s="2"/>
      <c r="B198" s="2"/>
      <c r="C198" s="2"/>
      <c r="D198" s="2"/>
      <c r="E198" s="2"/>
      <c r="F198" s="2"/>
      <c r="G198" s="2"/>
      <c r="H198" s="2"/>
      <c r="I198" s="2"/>
      <c r="J198" s="2"/>
      <c r="K198" s="2"/>
      <c r="L198" s="2"/>
      <c r="M198" s="2"/>
      <c r="O198" s="2"/>
      <c r="P198" s="2"/>
      <c r="Q198" s="2"/>
      <c r="R198" s="2"/>
      <c r="S198" s="2"/>
      <c r="T198" s="2"/>
      <c r="U198" s="2"/>
      <c r="V198" s="2"/>
      <c r="W198" s="2"/>
      <c r="X198" s="2"/>
      <c r="Y198" s="2"/>
      <c r="Z198" s="2"/>
      <c r="AA198" s="2"/>
      <c r="AB198" s="2"/>
      <c r="AC198" s="2"/>
      <c r="AD198" s="2"/>
      <c r="AE198" s="2"/>
      <c r="AF198" s="2"/>
      <c r="AG198" s="2"/>
      <c r="AH198" s="2"/>
      <c r="AI198" s="2"/>
      <c r="AJ198" s="2"/>
    </row>
    <row r="199" ht="15.75" customHeight="1">
      <c r="A199" s="2"/>
      <c r="B199" s="2"/>
      <c r="C199" s="2"/>
      <c r="D199" s="2"/>
      <c r="E199" s="2"/>
      <c r="F199" s="2"/>
      <c r="G199" s="2"/>
      <c r="H199" s="2"/>
      <c r="I199" s="2"/>
      <c r="J199" s="2"/>
      <c r="K199" s="2"/>
      <c r="L199" s="2"/>
      <c r="M199" s="2"/>
      <c r="O199" s="2"/>
      <c r="P199" s="2"/>
      <c r="Q199" s="2"/>
      <c r="R199" s="2"/>
      <c r="S199" s="2"/>
      <c r="T199" s="2"/>
      <c r="U199" s="2"/>
      <c r="V199" s="2"/>
      <c r="W199" s="2"/>
      <c r="X199" s="2"/>
      <c r="Y199" s="2"/>
      <c r="Z199" s="2"/>
      <c r="AA199" s="2"/>
      <c r="AB199" s="2"/>
      <c r="AC199" s="2"/>
      <c r="AD199" s="2"/>
      <c r="AE199" s="2"/>
      <c r="AF199" s="2"/>
      <c r="AG199" s="2"/>
      <c r="AH199" s="2"/>
      <c r="AI199" s="2"/>
      <c r="AJ199" s="2"/>
    </row>
    <row r="200" ht="15.75" customHeight="1">
      <c r="A200" s="2"/>
      <c r="B200" s="2"/>
      <c r="C200" s="2"/>
      <c r="D200" s="2"/>
      <c r="E200" s="2"/>
      <c r="F200" s="2"/>
      <c r="G200" s="2"/>
      <c r="H200" s="2"/>
      <c r="I200" s="2"/>
      <c r="J200" s="2"/>
      <c r="K200" s="2"/>
      <c r="L200" s="2"/>
      <c r="M200" s="2"/>
      <c r="O200" s="2"/>
      <c r="P200" s="2"/>
      <c r="Q200" s="2"/>
      <c r="R200" s="2"/>
      <c r="S200" s="2"/>
      <c r="T200" s="2"/>
      <c r="U200" s="2"/>
      <c r="V200" s="2"/>
      <c r="W200" s="2"/>
      <c r="X200" s="2"/>
      <c r="Y200" s="2"/>
      <c r="Z200" s="2"/>
      <c r="AA200" s="2"/>
      <c r="AB200" s="2"/>
      <c r="AC200" s="2"/>
      <c r="AD200" s="2"/>
      <c r="AE200" s="2"/>
      <c r="AF200" s="2"/>
      <c r="AG200" s="2"/>
      <c r="AH200" s="2"/>
      <c r="AI200" s="2"/>
      <c r="AJ200" s="2"/>
    </row>
    <row r="201" ht="15.75" customHeight="1">
      <c r="A201" s="2"/>
      <c r="B201" s="2"/>
      <c r="C201" s="2"/>
      <c r="D201" s="2"/>
      <c r="E201" s="2"/>
      <c r="F201" s="2"/>
      <c r="G201" s="2"/>
      <c r="H201" s="2"/>
      <c r="I201" s="2"/>
      <c r="J201" s="2"/>
      <c r="K201" s="2"/>
      <c r="L201" s="2"/>
      <c r="M201" s="2"/>
      <c r="O201" s="2"/>
      <c r="P201" s="2"/>
      <c r="Q201" s="2"/>
      <c r="R201" s="2"/>
      <c r="S201" s="2"/>
      <c r="T201" s="2"/>
      <c r="U201" s="2"/>
      <c r="V201" s="2"/>
      <c r="W201" s="2"/>
      <c r="X201" s="2"/>
      <c r="Y201" s="2"/>
      <c r="Z201" s="2"/>
      <c r="AA201" s="2"/>
      <c r="AB201" s="2"/>
      <c r="AC201" s="2"/>
      <c r="AD201" s="2"/>
      <c r="AE201" s="2"/>
      <c r="AF201" s="2"/>
      <c r="AG201" s="2"/>
      <c r="AH201" s="2"/>
      <c r="AI201" s="2"/>
      <c r="AJ201" s="2"/>
    </row>
    <row r="202" ht="15.75" customHeight="1">
      <c r="A202" s="2"/>
      <c r="B202" s="2"/>
      <c r="C202" s="2"/>
      <c r="D202" s="2"/>
      <c r="E202" s="2"/>
      <c r="F202" s="2"/>
      <c r="G202" s="2"/>
      <c r="H202" s="2"/>
      <c r="I202" s="2"/>
      <c r="J202" s="2"/>
      <c r="K202" s="2"/>
      <c r="L202" s="2"/>
      <c r="M202" s="2"/>
      <c r="O202" s="2"/>
      <c r="P202" s="2"/>
      <c r="Q202" s="2"/>
      <c r="R202" s="2"/>
      <c r="S202" s="2"/>
      <c r="T202" s="2"/>
      <c r="U202" s="2"/>
      <c r="V202" s="2"/>
      <c r="W202" s="2"/>
      <c r="X202" s="2"/>
      <c r="Y202" s="2"/>
      <c r="Z202" s="2"/>
      <c r="AA202" s="2"/>
      <c r="AB202" s="2"/>
      <c r="AC202" s="2"/>
      <c r="AD202" s="2"/>
      <c r="AE202" s="2"/>
      <c r="AF202" s="2"/>
      <c r="AG202" s="2"/>
      <c r="AH202" s="2"/>
      <c r="AI202" s="2"/>
      <c r="AJ202" s="2"/>
    </row>
    <row r="203" ht="15.75" customHeight="1">
      <c r="A203" s="2"/>
      <c r="B203" s="2"/>
      <c r="C203" s="2"/>
      <c r="D203" s="2"/>
      <c r="E203" s="2"/>
      <c r="F203" s="2"/>
      <c r="G203" s="2"/>
      <c r="H203" s="2"/>
      <c r="I203" s="2"/>
      <c r="J203" s="2"/>
      <c r="K203" s="2"/>
      <c r="L203" s="2"/>
      <c r="M203" s="2"/>
      <c r="O203" s="2"/>
      <c r="P203" s="2"/>
      <c r="Q203" s="2"/>
      <c r="R203" s="2"/>
      <c r="S203" s="2"/>
      <c r="T203" s="2"/>
      <c r="U203" s="2"/>
      <c r="V203" s="2"/>
      <c r="W203" s="2"/>
      <c r="X203" s="2"/>
      <c r="Y203" s="2"/>
      <c r="Z203" s="2"/>
      <c r="AA203" s="2"/>
      <c r="AB203" s="2"/>
      <c r="AC203" s="2"/>
      <c r="AD203" s="2"/>
      <c r="AE203" s="2"/>
      <c r="AF203" s="2"/>
      <c r="AG203" s="2"/>
      <c r="AH203" s="2"/>
      <c r="AI203" s="2"/>
      <c r="AJ203" s="2"/>
    </row>
    <row r="204" ht="15.75" customHeight="1">
      <c r="A204" s="2"/>
      <c r="B204" s="2"/>
      <c r="C204" s="2"/>
      <c r="D204" s="2"/>
      <c r="E204" s="2"/>
      <c r="F204" s="2"/>
      <c r="G204" s="2"/>
      <c r="H204" s="2"/>
      <c r="I204" s="2"/>
      <c r="J204" s="2"/>
      <c r="K204" s="2"/>
      <c r="L204" s="2"/>
      <c r="M204" s="2"/>
      <c r="O204" s="2"/>
      <c r="P204" s="2"/>
      <c r="Q204" s="2"/>
      <c r="R204" s="2"/>
      <c r="S204" s="2"/>
      <c r="T204" s="2"/>
      <c r="U204" s="2"/>
      <c r="V204" s="2"/>
      <c r="W204" s="2"/>
      <c r="X204" s="2"/>
      <c r="Y204" s="2"/>
      <c r="Z204" s="2"/>
      <c r="AA204" s="2"/>
      <c r="AB204" s="2"/>
      <c r="AC204" s="2"/>
      <c r="AD204" s="2"/>
      <c r="AE204" s="2"/>
      <c r="AF204" s="2"/>
      <c r="AG204" s="2"/>
      <c r="AH204" s="2"/>
      <c r="AI204" s="2"/>
      <c r="AJ204" s="2"/>
    </row>
    <row r="205" ht="15.75" customHeight="1">
      <c r="A205" s="2"/>
      <c r="B205" s="2"/>
      <c r="C205" s="2"/>
      <c r="D205" s="2"/>
      <c r="E205" s="2"/>
      <c r="F205" s="2"/>
      <c r="G205" s="2"/>
      <c r="H205" s="2"/>
      <c r="I205" s="2"/>
      <c r="J205" s="2"/>
      <c r="K205" s="2"/>
      <c r="L205" s="2"/>
      <c r="M205" s="2"/>
      <c r="O205" s="2"/>
      <c r="P205" s="2"/>
      <c r="Q205" s="2"/>
      <c r="R205" s="2"/>
      <c r="S205" s="2"/>
      <c r="T205" s="2"/>
      <c r="U205" s="2"/>
      <c r="V205" s="2"/>
      <c r="W205" s="2"/>
      <c r="X205" s="2"/>
      <c r="Y205" s="2"/>
      <c r="Z205" s="2"/>
      <c r="AA205" s="2"/>
      <c r="AB205" s="2"/>
      <c r="AC205" s="2"/>
      <c r="AD205" s="2"/>
      <c r="AE205" s="2"/>
      <c r="AF205" s="2"/>
      <c r="AG205" s="2"/>
      <c r="AH205" s="2"/>
      <c r="AI205" s="2"/>
      <c r="AJ205" s="2"/>
    </row>
    <row r="206" ht="15.75" customHeight="1">
      <c r="A206" s="2"/>
      <c r="B206" s="2"/>
      <c r="C206" s="2"/>
      <c r="D206" s="2"/>
      <c r="E206" s="2"/>
      <c r="F206" s="2"/>
      <c r="G206" s="2"/>
      <c r="H206" s="2"/>
      <c r="I206" s="2"/>
      <c r="J206" s="2"/>
      <c r="K206" s="2"/>
      <c r="L206" s="2"/>
      <c r="M206" s="2"/>
      <c r="O206" s="2"/>
      <c r="P206" s="2"/>
      <c r="Q206" s="2"/>
      <c r="R206" s="2"/>
      <c r="S206" s="2"/>
      <c r="T206" s="2"/>
      <c r="U206" s="2"/>
      <c r="V206" s="2"/>
      <c r="W206" s="2"/>
      <c r="X206" s="2"/>
      <c r="Y206" s="2"/>
      <c r="Z206" s="2"/>
      <c r="AA206" s="2"/>
      <c r="AB206" s="2"/>
      <c r="AC206" s="2"/>
      <c r="AD206" s="2"/>
      <c r="AE206" s="2"/>
      <c r="AF206" s="2"/>
      <c r="AG206" s="2"/>
      <c r="AH206" s="2"/>
      <c r="AI206" s="2"/>
      <c r="AJ206" s="2"/>
    </row>
    <row r="207" ht="15.75" customHeight="1">
      <c r="A207" s="2"/>
      <c r="B207" s="2"/>
      <c r="C207" s="2"/>
      <c r="D207" s="2"/>
      <c r="E207" s="2"/>
      <c r="F207" s="2"/>
      <c r="G207" s="2"/>
      <c r="H207" s="2"/>
      <c r="I207" s="2"/>
      <c r="J207" s="2"/>
      <c r="K207" s="2"/>
      <c r="L207" s="2"/>
      <c r="M207" s="2"/>
      <c r="O207" s="2"/>
      <c r="P207" s="2"/>
      <c r="Q207" s="2"/>
      <c r="R207" s="2"/>
      <c r="S207" s="2"/>
      <c r="T207" s="2"/>
      <c r="U207" s="2"/>
      <c r="V207" s="2"/>
      <c r="W207" s="2"/>
      <c r="X207" s="2"/>
      <c r="Y207" s="2"/>
      <c r="Z207" s="2"/>
      <c r="AA207" s="2"/>
      <c r="AB207" s="2"/>
      <c r="AC207" s="2"/>
      <c r="AD207" s="2"/>
      <c r="AE207" s="2"/>
      <c r="AF207" s="2"/>
      <c r="AG207" s="2"/>
      <c r="AH207" s="2"/>
      <c r="AI207" s="2"/>
      <c r="AJ207" s="2"/>
    </row>
    <row r="208" ht="15.75" customHeight="1">
      <c r="A208" s="2"/>
      <c r="B208" s="2"/>
      <c r="C208" s="2"/>
      <c r="D208" s="2"/>
      <c r="E208" s="2"/>
      <c r="F208" s="2"/>
      <c r="G208" s="2"/>
      <c r="H208" s="2"/>
      <c r="I208" s="2"/>
      <c r="J208" s="2"/>
      <c r="K208" s="2"/>
      <c r="L208" s="2"/>
      <c r="M208" s="2"/>
      <c r="O208" s="2"/>
      <c r="P208" s="2"/>
      <c r="Q208" s="2"/>
      <c r="R208" s="2"/>
      <c r="S208" s="2"/>
      <c r="T208" s="2"/>
      <c r="U208" s="2"/>
      <c r="V208" s="2"/>
      <c r="W208" s="2"/>
      <c r="X208" s="2"/>
      <c r="Y208" s="2"/>
      <c r="Z208" s="2"/>
      <c r="AA208" s="2"/>
      <c r="AB208" s="2"/>
      <c r="AC208" s="2"/>
      <c r="AD208" s="2"/>
      <c r="AE208" s="2"/>
      <c r="AF208" s="2"/>
      <c r="AG208" s="2"/>
      <c r="AH208" s="2"/>
      <c r="AI208" s="2"/>
      <c r="AJ208" s="2"/>
    </row>
    <row r="209" ht="15.75" customHeight="1">
      <c r="A209" s="2"/>
      <c r="B209" s="2"/>
      <c r="C209" s="2"/>
      <c r="D209" s="2"/>
      <c r="E209" s="2"/>
      <c r="F209" s="2"/>
      <c r="G209" s="2"/>
      <c r="H209" s="2"/>
      <c r="I209" s="2"/>
      <c r="J209" s="2"/>
      <c r="K209" s="2"/>
      <c r="L209" s="2"/>
      <c r="M209" s="2"/>
      <c r="O209" s="2"/>
      <c r="P209" s="2"/>
      <c r="Q209" s="2"/>
      <c r="R209" s="2"/>
      <c r="S209" s="2"/>
      <c r="T209" s="2"/>
      <c r="U209" s="2"/>
      <c r="V209" s="2"/>
      <c r="W209" s="2"/>
      <c r="X209" s="2"/>
      <c r="Y209" s="2"/>
      <c r="Z209" s="2"/>
      <c r="AA209" s="2"/>
      <c r="AB209" s="2"/>
      <c r="AC209" s="2"/>
      <c r="AD209" s="2"/>
      <c r="AE209" s="2"/>
      <c r="AF209" s="2"/>
      <c r="AG209" s="2"/>
      <c r="AH209" s="2"/>
      <c r="AI209" s="2"/>
      <c r="AJ209" s="2"/>
    </row>
    <row r="210" ht="15.75" customHeight="1">
      <c r="A210" s="2"/>
      <c r="B210" s="2"/>
      <c r="C210" s="2"/>
      <c r="D210" s="2"/>
      <c r="E210" s="2"/>
      <c r="F210" s="2"/>
      <c r="G210" s="2"/>
      <c r="H210" s="2"/>
      <c r="I210" s="2"/>
      <c r="J210" s="2"/>
      <c r="K210" s="2"/>
      <c r="L210" s="2"/>
      <c r="M210" s="2"/>
      <c r="O210" s="2"/>
      <c r="P210" s="2"/>
      <c r="Q210" s="2"/>
      <c r="R210" s="2"/>
      <c r="S210" s="2"/>
      <c r="T210" s="2"/>
      <c r="U210" s="2"/>
      <c r="V210" s="2"/>
      <c r="W210" s="2"/>
      <c r="X210" s="2"/>
      <c r="Y210" s="2"/>
      <c r="Z210" s="2"/>
      <c r="AA210" s="2"/>
      <c r="AB210" s="2"/>
      <c r="AC210" s="2"/>
      <c r="AD210" s="2"/>
      <c r="AE210" s="2"/>
      <c r="AF210" s="2"/>
      <c r="AG210" s="2"/>
      <c r="AH210" s="2"/>
      <c r="AI210" s="2"/>
      <c r="AJ210" s="2"/>
    </row>
    <row r="211" ht="15.75" customHeight="1">
      <c r="A211" s="2"/>
      <c r="B211" s="2"/>
      <c r="C211" s="2"/>
      <c r="D211" s="2"/>
      <c r="E211" s="2"/>
      <c r="F211" s="2"/>
      <c r="G211" s="2"/>
      <c r="H211" s="2"/>
      <c r="I211" s="2"/>
      <c r="J211" s="2"/>
      <c r="K211" s="2"/>
      <c r="L211" s="2"/>
      <c r="M211" s="2"/>
      <c r="O211" s="2"/>
      <c r="P211" s="2"/>
      <c r="Q211" s="2"/>
      <c r="R211" s="2"/>
      <c r="S211" s="2"/>
      <c r="T211" s="2"/>
      <c r="U211" s="2"/>
      <c r="V211" s="2"/>
      <c r="W211" s="2"/>
      <c r="X211" s="2"/>
      <c r="Y211" s="2"/>
      <c r="Z211" s="2"/>
      <c r="AA211" s="2"/>
      <c r="AB211" s="2"/>
      <c r="AC211" s="2"/>
      <c r="AD211" s="2"/>
      <c r="AE211" s="2"/>
      <c r="AF211" s="2"/>
      <c r="AG211" s="2"/>
      <c r="AH211" s="2"/>
      <c r="AI211" s="2"/>
      <c r="AJ211" s="2"/>
    </row>
    <row r="212" ht="15.75" customHeight="1">
      <c r="A212" s="2"/>
      <c r="B212" s="2"/>
      <c r="C212" s="2"/>
      <c r="D212" s="2"/>
      <c r="E212" s="2"/>
      <c r="F212" s="2"/>
      <c r="G212" s="2"/>
      <c r="H212" s="2"/>
      <c r="I212" s="2"/>
      <c r="J212" s="2"/>
      <c r="K212" s="2"/>
      <c r="L212" s="2"/>
      <c r="M212" s="2"/>
      <c r="O212" s="2"/>
      <c r="P212" s="2"/>
      <c r="Q212" s="2"/>
      <c r="R212" s="2"/>
      <c r="S212" s="2"/>
      <c r="T212" s="2"/>
      <c r="U212" s="2"/>
      <c r="V212" s="2"/>
      <c r="W212" s="2"/>
      <c r="X212" s="2"/>
      <c r="Y212" s="2"/>
      <c r="Z212" s="2"/>
      <c r="AA212" s="2"/>
      <c r="AB212" s="2"/>
      <c r="AC212" s="2"/>
      <c r="AD212" s="2"/>
      <c r="AE212" s="2"/>
      <c r="AF212" s="2"/>
      <c r="AG212" s="2"/>
      <c r="AH212" s="2"/>
      <c r="AI212" s="2"/>
      <c r="AJ212" s="2"/>
    </row>
    <row r="213" ht="15.75" customHeight="1">
      <c r="A213" s="2"/>
      <c r="B213" s="2"/>
      <c r="C213" s="2"/>
      <c r="D213" s="2"/>
      <c r="E213" s="2"/>
      <c r="F213" s="2"/>
      <c r="G213" s="2"/>
      <c r="H213" s="2"/>
      <c r="I213" s="2"/>
      <c r="J213" s="2"/>
      <c r="K213" s="2"/>
      <c r="L213" s="2"/>
      <c r="M213" s="2"/>
      <c r="O213" s="2"/>
      <c r="P213" s="2"/>
      <c r="Q213" s="2"/>
      <c r="R213" s="2"/>
      <c r="S213" s="2"/>
      <c r="T213" s="2"/>
      <c r="U213" s="2"/>
      <c r="V213" s="2"/>
      <c r="W213" s="2"/>
      <c r="X213" s="2"/>
      <c r="Y213" s="2"/>
      <c r="Z213" s="2"/>
      <c r="AA213" s="2"/>
      <c r="AB213" s="2"/>
      <c r="AC213" s="2"/>
      <c r="AD213" s="2"/>
      <c r="AE213" s="2"/>
      <c r="AF213" s="2"/>
      <c r="AG213" s="2"/>
      <c r="AH213" s="2"/>
      <c r="AI213" s="2"/>
      <c r="AJ213" s="2"/>
    </row>
    <row r="214" ht="15.75" customHeight="1">
      <c r="A214" s="2"/>
      <c r="B214" s="2"/>
      <c r="C214" s="2"/>
      <c r="D214" s="2"/>
      <c r="E214" s="2"/>
      <c r="F214" s="2"/>
      <c r="G214" s="2"/>
      <c r="H214" s="2"/>
      <c r="I214" s="2"/>
      <c r="J214" s="2"/>
      <c r="K214" s="2"/>
      <c r="L214" s="2"/>
      <c r="M214" s="2"/>
      <c r="O214" s="2"/>
      <c r="P214" s="2"/>
      <c r="Q214" s="2"/>
      <c r="R214" s="2"/>
      <c r="S214" s="2"/>
      <c r="T214" s="2"/>
      <c r="U214" s="2"/>
      <c r="V214" s="2"/>
      <c r="W214" s="2"/>
      <c r="X214" s="2"/>
      <c r="Y214" s="2"/>
      <c r="Z214" s="2"/>
      <c r="AA214" s="2"/>
      <c r="AB214" s="2"/>
      <c r="AC214" s="2"/>
      <c r="AD214" s="2"/>
      <c r="AE214" s="2"/>
      <c r="AF214" s="2"/>
      <c r="AG214" s="2"/>
      <c r="AH214" s="2"/>
      <c r="AI214" s="2"/>
      <c r="AJ214" s="2"/>
    </row>
    <row r="215" ht="15.75" customHeight="1">
      <c r="A215" s="2"/>
      <c r="B215" s="2"/>
      <c r="C215" s="2"/>
      <c r="D215" s="2"/>
      <c r="E215" s="2"/>
      <c r="F215" s="2"/>
      <c r="G215" s="2"/>
      <c r="H215" s="2"/>
      <c r="I215" s="2"/>
      <c r="J215" s="2"/>
      <c r="K215" s="2"/>
      <c r="L215" s="2"/>
      <c r="M215" s="2"/>
      <c r="O215" s="2"/>
      <c r="P215" s="2"/>
      <c r="Q215" s="2"/>
      <c r="R215" s="2"/>
      <c r="S215" s="2"/>
      <c r="T215" s="2"/>
      <c r="U215" s="2"/>
      <c r="V215" s="2"/>
      <c r="W215" s="2"/>
      <c r="X215" s="2"/>
      <c r="Y215" s="2"/>
      <c r="Z215" s="2"/>
      <c r="AA215" s="2"/>
      <c r="AB215" s="2"/>
      <c r="AC215" s="2"/>
      <c r="AD215" s="2"/>
      <c r="AE215" s="2"/>
      <c r="AF215" s="2"/>
      <c r="AG215" s="2"/>
      <c r="AH215" s="2"/>
      <c r="AI215" s="2"/>
      <c r="AJ215" s="2"/>
    </row>
    <row r="216" ht="15.75" customHeight="1">
      <c r="A216" s="2"/>
      <c r="B216" s="2"/>
      <c r="C216" s="2"/>
      <c r="D216" s="2"/>
      <c r="E216" s="2"/>
      <c r="F216" s="2"/>
      <c r="G216" s="2"/>
      <c r="H216" s="2"/>
      <c r="I216" s="2"/>
      <c r="J216" s="2"/>
      <c r="K216" s="2"/>
      <c r="L216" s="2"/>
      <c r="M216" s="2"/>
      <c r="O216" s="2"/>
      <c r="P216" s="2"/>
      <c r="Q216" s="2"/>
      <c r="R216" s="2"/>
      <c r="S216" s="2"/>
      <c r="T216" s="2"/>
      <c r="U216" s="2"/>
      <c r="V216" s="2"/>
      <c r="W216" s="2"/>
      <c r="X216" s="2"/>
      <c r="Y216" s="2"/>
      <c r="Z216" s="2"/>
      <c r="AA216" s="2"/>
      <c r="AB216" s="2"/>
      <c r="AC216" s="2"/>
      <c r="AD216" s="2"/>
      <c r="AE216" s="2"/>
      <c r="AF216" s="2"/>
      <c r="AG216" s="2"/>
      <c r="AH216" s="2"/>
      <c r="AI216" s="2"/>
      <c r="AJ216" s="2"/>
    </row>
    <row r="217" ht="15.75" customHeight="1">
      <c r="A217" s="2"/>
      <c r="B217" s="2"/>
      <c r="C217" s="2"/>
      <c r="D217" s="2"/>
      <c r="E217" s="2"/>
      <c r="F217" s="2"/>
      <c r="G217" s="2"/>
      <c r="H217" s="2"/>
      <c r="I217" s="2"/>
      <c r="J217" s="2"/>
      <c r="K217" s="2"/>
      <c r="L217" s="2"/>
      <c r="M217" s="2"/>
      <c r="O217" s="2"/>
      <c r="P217" s="2"/>
      <c r="Q217" s="2"/>
      <c r="R217" s="2"/>
      <c r="S217" s="2"/>
      <c r="T217" s="2"/>
      <c r="U217" s="2"/>
      <c r="V217" s="2"/>
      <c r="W217" s="2"/>
      <c r="X217" s="2"/>
      <c r="Y217" s="2"/>
      <c r="Z217" s="2"/>
      <c r="AA217" s="2"/>
      <c r="AB217" s="2"/>
      <c r="AC217" s="2"/>
      <c r="AD217" s="2"/>
      <c r="AE217" s="2"/>
      <c r="AF217" s="2"/>
      <c r="AG217" s="2"/>
      <c r="AH217" s="2"/>
      <c r="AI217" s="2"/>
      <c r="AJ217" s="2"/>
    </row>
    <row r="218" ht="15.75" customHeight="1">
      <c r="A218" s="2"/>
      <c r="B218" s="2"/>
      <c r="C218" s="2"/>
      <c r="D218" s="2"/>
      <c r="E218" s="2"/>
      <c r="F218" s="2"/>
      <c r="G218" s="2"/>
      <c r="H218" s="2"/>
      <c r="I218" s="2"/>
      <c r="J218" s="2"/>
      <c r="K218" s="2"/>
      <c r="L218" s="2"/>
      <c r="M218" s="2"/>
      <c r="O218" s="2"/>
      <c r="P218" s="2"/>
      <c r="Q218" s="2"/>
      <c r="R218" s="2"/>
      <c r="S218" s="2"/>
      <c r="T218" s="2"/>
      <c r="U218" s="2"/>
      <c r="V218" s="2"/>
      <c r="W218" s="2"/>
      <c r="X218" s="2"/>
      <c r="Y218" s="2"/>
      <c r="Z218" s="2"/>
      <c r="AA218" s="2"/>
      <c r="AB218" s="2"/>
      <c r="AC218" s="2"/>
      <c r="AD218" s="2"/>
      <c r="AE218" s="2"/>
      <c r="AF218" s="2"/>
      <c r="AG218" s="2"/>
      <c r="AH218" s="2"/>
      <c r="AI218" s="2"/>
      <c r="AJ218" s="2"/>
    </row>
    <row r="219" ht="15.75" customHeight="1">
      <c r="A219" s="2"/>
      <c r="B219" s="2"/>
      <c r="C219" s="2"/>
      <c r="D219" s="2"/>
      <c r="E219" s="2"/>
      <c r="F219" s="2"/>
      <c r="G219" s="2"/>
      <c r="H219" s="2"/>
      <c r="I219" s="2"/>
      <c r="J219" s="2"/>
      <c r="K219" s="2"/>
      <c r="L219" s="2"/>
      <c r="M219" s="2"/>
      <c r="O219" s="2"/>
      <c r="P219" s="2"/>
      <c r="Q219" s="2"/>
      <c r="R219" s="2"/>
      <c r="S219" s="2"/>
      <c r="T219" s="2"/>
      <c r="U219" s="2"/>
      <c r="V219" s="2"/>
      <c r="W219" s="2"/>
      <c r="X219" s="2"/>
      <c r="Y219" s="2"/>
      <c r="Z219" s="2"/>
      <c r="AA219" s="2"/>
      <c r="AB219" s="2"/>
      <c r="AC219" s="2"/>
      <c r="AD219" s="2"/>
      <c r="AE219" s="2"/>
      <c r="AF219" s="2"/>
      <c r="AG219" s="2"/>
      <c r="AH219" s="2"/>
      <c r="AI219" s="2"/>
      <c r="AJ219" s="2"/>
    </row>
    <row r="220" ht="15.75" customHeight="1">
      <c r="A220" s="2"/>
      <c r="B220" s="2"/>
      <c r="C220" s="2"/>
      <c r="D220" s="2"/>
      <c r="E220" s="2"/>
      <c r="F220" s="2"/>
      <c r="G220" s="2"/>
      <c r="H220" s="2"/>
      <c r="I220" s="2"/>
      <c r="J220" s="2"/>
      <c r="K220" s="2"/>
      <c r="L220" s="2"/>
      <c r="M220" s="2"/>
      <c r="O220" s="2"/>
      <c r="P220" s="2"/>
      <c r="Q220" s="2"/>
      <c r="R220" s="2"/>
      <c r="S220" s="2"/>
      <c r="T220" s="2"/>
      <c r="U220" s="2"/>
      <c r="V220" s="2"/>
      <c r="W220" s="2"/>
      <c r="X220" s="2"/>
      <c r="Y220" s="2"/>
      <c r="Z220" s="2"/>
      <c r="AA220" s="2"/>
      <c r="AB220" s="2"/>
      <c r="AC220" s="2"/>
      <c r="AD220" s="2"/>
      <c r="AE220" s="2"/>
      <c r="AF220" s="2"/>
      <c r="AG220" s="2"/>
      <c r="AH220" s="2"/>
      <c r="AI220" s="2"/>
      <c r="AJ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G5"/>
  </mergeCells>
  <dataValidations>
    <dataValidation type="list" allowBlank="1" showInputMessage="1" showErrorMessage="1" prompt=" - " sqref="E9">
      <formula1>$Z$7:$Z$10</formula1>
    </dataValidation>
  </dataValidations>
  <hyperlinks>
    <hyperlink r:id="rId1" ref="O6"/>
    <hyperlink r:id="rId2" ref="O7"/>
    <hyperlink r:id="rId3" location="origin=share&amp;sid=share&amp;wid=MLA900269616&amp;action=copy" ref="O8"/>
    <hyperlink r:id="rId4" ref="O9"/>
    <hyperlink r:id="rId5" location="origin=share&amp;sid=share&amp;wid=MLA1585528059&amp;action=copy" ref="O10"/>
    <hyperlink r:id="rId6" ref="O11"/>
  </hyperlinks>
  <printOptions/>
  <pageMargins bottom="0.75" footer="0.0" header="0.0" left="0.7" right="0.7" top="0.75"/>
  <pageSetup orientation="landscape"/>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outlinePr summaryBelow="0" summaryRight="0"/>
    <pageSetUpPr/>
  </sheetPr>
  <sheetViews>
    <sheetView showGridLines="0" workbookViewId="0"/>
  </sheetViews>
  <sheetFormatPr customHeight="1" defaultColWidth="14.43" defaultRowHeight="15.0"/>
  <cols>
    <col customWidth="1" min="1" max="1" width="3.86"/>
    <col customWidth="1" min="2" max="2" width="2.71"/>
    <col customWidth="1" min="3" max="3" width="17.86"/>
    <col customWidth="1" min="4" max="4" width="18.0"/>
    <col customWidth="1" min="5" max="5" width="12.14"/>
    <col customWidth="1" min="6" max="6" width="13.57"/>
    <col customWidth="1" min="7" max="7" width="14.14"/>
    <col customWidth="1" min="8" max="8" width="4.0"/>
    <col customWidth="1" min="9" max="17" width="11.29"/>
    <col customWidth="1" min="18" max="26" width="17.29"/>
  </cols>
  <sheetData>
    <row r="1" ht="15.75" customHeight="1">
      <c r="A1" s="42"/>
      <c r="B1" s="42"/>
      <c r="C1" s="42"/>
      <c r="D1" s="42"/>
      <c r="E1" s="42"/>
      <c r="F1" s="42"/>
      <c r="G1" s="42"/>
      <c r="H1" s="42"/>
      <c r="I1" s="42"/>
      <c r="J1" s="42"/>
      <c r="K1" s="42"/>
      <c r="L1" s="42"/>
      <c r="M1" s="117"/>
      <c r="N1" s="117"/>
      <c r="O1" s="117"/>
      <c r="P1" s="117"/>
      <c r="Q1" s="117"/>
      <c r="R1" s="117"/>
      <c r="S1" s="117"/>
      <c r="T1" s="117"/>
      <c r="U1" s="117"/>
      <c r="V1" s="117"/>
      <c r="W1" s="117"/>
      <c r="X1" s="117"/>
      <c r="Y1" s="117"/>
      <c r="Z1" s="117"/>
    </row>
    <row r="2">
      <c r="A2" s="118"/>
      <c r="B2" s="119"/>
      <c r="C2" s="120"/>
      <c r="D2" s="120"/>
      <c r="E2" s="120"/>
      <c r="F2" s="120"/>
      <c r="G2" s="120"/>
      <c r="H2" s="120"/>
      <c r="I2" s="121"/>
      <c r="J2" s="121"/>
      <c r="K2" s="121"/>
      <c r="L2" s="118"/>
      <c r="M2" s="117"/>
      <c r="N2" s="117"/>
      <c r="O2" s="117"/>
      <c r="P2" s="117"/>
      <c r="Q2" s="117"/>
      <c r="R2" s="117"/>
      <c r="S2" s="117"/>
      <c r="T2" s="117"/>
      <c r="U2" s="117"/>
      <c r="V2" s="117"/>
      <c r="W2" s="117"/>
      <c r="X2" s="117"/>
      <c r="Y2" s="117"/>
      <c r="Z2" s="117"/>
    </row>
    <row r="3" ht="15.75" customHeight="1">
      <c r="A3" s="118"/>
      <c r="B3" s="119"/>
      <c r="C3" s="122" t="s">
        <v>113</v>
      </c>
      <c r="D3" s="120"/>
      <c r="E3" s="120"/>
      <c r="F3" s="120"/>
      <c r="G3" s="120"/>
      <c r="H3" s="120"/>
      <c r="I3" s="123"/>
      <c r="J3" s="121"/>
      <c r="K3" s="121"/>
      <c r="L3" s="118"/>
      <c r="M3" s="117"/>
      <c r="N3" s="117"/>
      <c r="O3" s="117"/>
      <c r="P3" s="117"/>
      <c r="Q3" s="117"/>
      <c r="R3" s="117"/>
      <c r="S3" s="117"/>
      <c r="T3" s="117"/>
      <c r="U3" s="117"/>
      <c r="V3" s="117"/>
      <c r="W3" s="117"/>
      <c r="X3" s="117"/>
      <c r="Y3" s="117"/>
      <c r="Z3" s="117"/>
    </row>
    <row r="4" ht="12.75" customHeight="1">
      <c r="A4" s="124"/>
      <c r="B4" s="125"/>
      <c r="C4" s="126"/>
      <c r="D4" s="120"/>
      <c r="E4" s="120"/>
      <c r="F4" s="120"/>
      <c r="G4" s="120"/>
      <c r="H4" s="120"/>
      <c r="I4" s="127"/>
      <c r="J4" s="127"/>
      <c r="K4" s="127"/>
      <c r="L4" s="124"/>
      <c r="M4" s="117"/>
      <c r="N4" s="117"/>
      <c r="O4" s="117"/>
      <c r="P4" s="117"/>
      <c r="Q4" s="117"/>
      <c r="R4" s="117"/>
      <c r="S4" s="117"/>
      <c r="T4" s="117"/>
      <c r="U4" s="117"/>
      <c r="V4" s="117"/>
      <c r="W4" s="117"/>
      <c r="X4" s="117"/>
      <c r="Y4" s="117"/>
      <c r="Z4" s="117"/>
    </row>
    <row r="5" ht="12.75" customHeight="1">
      <c r="A5" s="124"/>
      <c r="B5" s="125"/>
      <c r="C5" s="128" t="s">
        <v>82</v>
      </c>
      <c r="D5" s="129"/>
      <c r="E5" s="120"/>
      <c r="F5" s="130" t="s">
        <v>114</v>
      </c>
      <c r="G5" s="45"/>
      <c r="H5" s="120"/>
      <c r="I5" s="127"/>
      <c r="J5" s="131"/>
      <c r="K5" s="127"/>
      <c r="L5" s="124"/>
      <c r="M5" s="117"/>
      <c r="N5" s="117"/>
      <c r="O5" s="117"/>
      <c r="P5" s="117"/>
      <c r="Q5" s="117"/>
      <c r="R5" s="117"/>
      <c r="S5" s="117"/>
      <c r="T5" s="117"/>
      <c r="U5" s="117"/>
      <c r="V5" s="117"/>
      <c r="W5" s="117"/>
      <c r="X5" s="117"/>
      <c r="Y5" s="117"/>
      <c r="Z5" s="117"/>
    </row>
    <row r="6" ht="12.75" customHeight="1">
      <c r="A6" s="124"/>
      <c r="B6" s="125"/>
      <c r="C6" s="132" t="s">
        <v>90</v>
      </c>
      <c r="D6" s="133">
        <f>+D5-D7</f>
        <v>0</v>
      </c>
      <c r="E6" s="120"/>
      <c r="F6" s="134" t="s">
        <v>115</v>
      </c>
      <c r="G6" s="135">
        <f>(COUNT(C10:C42)*(COUNT(C10:C42)+1))/2</f>
        <v>561</v>
      </c>
      <c r="H6" s="120"/>
      <c r="I6" s="127"/>
      <c r="J6" s="127"/>
      <c r="K6" s="127"/>
      <c r="L6" s="124"/>
      <c r="M6" s="117"/>
      <c r="N6" s="117"/>
      <c r="O6" s="117"/>
      <c r="P6" s="117"/>
      <c r="Q6" s="117"/>
      <c r="R6" s="117"/>
      <c r="S6" s="117"/>
      <c r="T6" s="117"/>
      <c r="U6" s="117"/>
      <c r="V6" s="117"/>
      <c r="W6" s="117"/>
      <c r="X6" s="117"/>
      <c r="Y6" s="117"/>
      <c r="Z6" s="117"/>
    </row>
    <row r="7" ht="12.75" customHeight="1">
      <c r="A7" s="124"/>
      <c r="B7" s="125"/>
      <c r="C7" s="128" t="s">
        <v>94</v>
      </c>
      <c r="D7" s="129"/>
      <c r="E7" s="120"/>
      <c r="F7" s="125"/>
      <c r="G7" s="125"/>
      <c r="H7" s="120"/>
      <c r="I7" s="127"/>
      <c r="J7" s="127"/>
      <c r="K7" s="127"/>
      <c r="L7" s="124"/>
      <c r="M7" s="117"/>
      <c r="N7" s="117"/>
      <c r="O7" s="117"/>
      <c r="P7" s="117"/>
      <c r="Q7" s="117"/>
      <c r="R7" s="117"/>
      <c r="S7" s="117"/>
      <c r="T7" s="117"/>
      <c r="U7" s="117"/>
      <c r="V7" s="117"/>
      <c r="W7" s="117"/>
      <c r="X7" s="117"/>
      <c r="Y7" s="117"/>
      <c r="Z7" s="117"/>
    </row>
    <row r="8" ht="12.75" customHeight="1">
      <c r="A8" s="124"/>
      <c r="B8" s="125"/>
      <c r="C8" s="120"/>
      <c r="D8" s="120"/>
      <c r="E8" s="125"/>
      <c r="F8" s="125"/>
      <c r="G8" s="125"/>
      <c r="H8" s="125"/>
      <c r="I8" s="127"/>
      <c r="J8" s="127"/>
      <c r="K8" s="127"/>
      <c r="L8" s="124"/>
      <c r="M8" s="117"/>
      <c r="N8" s="117"/>
      <c r="O8" s="117"/>
      <c r="P8" s="117"/>
      <c r="Q8" s="117"/>
      <c r="R8" s="117"/>
      <c r="S8" s="117"/>
      <c r="T8" s="117"/>
      <c r="U8" s="117"/>
      <c r="V8" s="117"/>
      <c r="W8" s="117"/>
      <c r="X8" s="117"/>
      <c r="Y8" s="117"/>
      <c r="Z8" s="117"/>
    </row>
    <row r="9" ht="25.5" customHeight="1">
      <c r="A9" s="124"/>
      <c r="B9" s="125"/>
      <c r="C9" s="46" t="s">
        <v>101</v>
      </c>
      <c r="D9" s="46" t="s">
        <v>102</v>
      </c>
      <c r="E9" s="46" t="s">
        <v>116</v>
      </c>
      <c r="F9" s="46" t="s">
        <v>103</v>
      </c>
      <c r="G9" s="46" t="s">
        <v>104</v>
      </c>
      <c r="H9" s="105"/>
      <c r="I9" s="127"/>
      <c r="J9" s="127"/>
      <c r="K9" s="127"/>
      <c r="L9" s="124"/>
      <c r="M9" s="117"/>
      <c r="N9" s="117"/>
      <c r="O9" s="117"/>
      <c r="P9" s="117"/>
      <c r="Q9" s="117"/>
      <c r="R9" s="117"/>
      <c r="S9" s="117"/>
      <c r="T9" s="117"/>
      <c r="U9" s="117"/>
      <c r="V9" s="117"/>
      <c r="W9" s="117"/>
      <c r="X9" s="117"/>
      <c r="Y9" s="117"/>
      <c r="Z9" s="117"/>
    </row>
    <row r="10" ht="13.5" customHeight="1">
      <c r="A10" s="42"/>
      <c r="B10" s="43"/>
      <c r="C10" s="136">
        <v>1.0</v>
      </c>
      <c r="D10" s="133" t="str">
        <f t="shared" ref="D10:D42" si="1">+$D$7</f>
        <v/>
      </c>
      <c r="E10" s="137">
        <f t="shared" ref="E10:E42" si="2">C10/$G$6</f>
        <v>0.001782531194</v>
      </c>
      <c r="F10" s="133">
        <f t="shared" ref="F10:F42" si="3">D10*E10</f>
        <v>0</v>
      </c>
      <c r="G10" s="138">
        <f>D5-F10</f>
        <v>0</v>
      </c>
      <c r="H10" s="43"/>
      <c r="I10" s="124"/>
      <c r="J10" s="124"/>
      <c r="K10" s="124"/>
      <c r="L10" s="42"/>
      <c r="M10" s="117"/>
      <c r="N10" s="117"/>
      <c r="O10" s="117"/>
      <c r="P10" s="117"/>
      <c r="Q10" s="117"/>
      <c r="R10" s="117"/>
      <c r="S10" s="117"/>
      <c r="T10" s="117"/>
      <c r="U10" s="117"/>
      <c r="V10" s="117"/>
      <c r="W10" s="117"/>
      <c r="X10" s="117"/>
      <c r="Y10" s="117"/>
      <c r="Z10" s="117"/>
    </row>
    <row r="11" ht="13.5" customHeight="1">
      <c r="A11" s="42"/>
      <c r="B11" s="43"/>
      <c r="C11" s="136">
        <f t="shared" ref="C11:C42" si="4">C10+1</f>
        <v>2</v>
      </c>
      <c r="D11" s="133" t="str">
        <f t="shared" si="1"/>
        <v/>
      </c>
      <c r="E11" s="137">
        <f t="shared" si="2"/>
        <v>0.003565062389</v>
      </c>
      <c r="F11" s="133">
        <f t="shared" si="3"/>
        <v>0</v>
      </c>
      <c r="G11" s="138">
        <f t="shared" ref="G11:G42" si="5">G10-F11</f>
        <v>0</v>
      </c>
      <c r="H11" s="43"/>
      <c r="I11" s="124"/>
      <c r="J11" s="124"/>
      <c r="K11" s="124"/>
      <c r="L11" s="42"/>
      <c r="M11" s="117"/>
      <c r="N11" s="117"/>
      <c r="O11" s="117"/>
      <c r="P11" s="117"/>
      <c r="Q11" s="117"/>
      <c r="R11" s="117"/>
      <c r="S11" s="117"/>
      <c r="T11" s="117"/>
      <c r="U11" s="117"/>
      <c r="V11" s="117"/>
      <c r="W11" s="117"/>
      <c r="X11" s="117"/>
      <c r="Y11" s="117"/>
      <c r="Z11" s="117"/>
    </row>
    <row r="12" ht="13.5" customHeight="1">
      <c r="A12" s="42"/>
      <c r="B12" s="43"/>
      <c r="C12" s="136">
        <f t="shared" si="4"/>
        <v>3</v>
      </c>
      <c r="D12" s="133" t="str">
        <f t="shared" si="1"/>
        <v/>
      </c>
      <c r="E12" s="137">
        <f t="shared" si="2"/>
        <v>0.005347593583</v>
      </c>
      <c r="F12" s="133">
        <f t="shared" si="3"/>
        <v>0</v>
      </c>
      <c r="G12" s="138">
        <f t="shared" si="5"/>
        <v>0</v>
      </c>
      <c r="H12" s="43"/>
      <c r="I12" s="124"/>
      <c r="J12" s="124"/>
      <c r="K12" s="124"/>
      <c r="L12" s="42"/>
      <c r="M12" s="117"/>
      <c r="N12" s="117"/>
      <c r="O12" s="117"/>
      <c r="P12" s="117"/>
      <c r="Q12" s="117"/>
      <c r="R12" s="117"/>
      <c r="S12" s="117"/>
      <c r="T12" s="117"/>
      <c r="U12" s="117"/>
      <c r="V12" s="117"/>
      <c r="W12" s="117"/>
      <c r="X12" s="117"/>
      <c r="Y12" s="117"/>
      <c r="Z12" s="117"/>
    </row>
    <row r="13" ht="13.5" customHeight="1">
      <c r="A13" s="42"/>
      <c r="B13" s="43"/>
      <c r="C13" s="136">
        <f t="shared" si="4"/>
        <v>4</v>
      </c>
      <c r="D13" s="133" t="str">
        <f t="shared" si="1"/>
        <v/>
      </c>
      <c r="E13" s="137">
        <f t="shared" si="2"/>
        <v>0.007130124777</v>
      </c>
      <c r="F13" s="133">
        <f t="shared" si="3"/>
        <v>0</v>
      </c>
      <c r="G13" s="138">
        <f t="shared" si="5"/>
        <v>0</v>
      </c>
      <c r="H13" s="43"/>
      <c r="I13" s="124"/>
      <c r="J13" s="124"/>
      <c r="K13" s="124"/>
      <c r="L13" s="42"/>
      <c r="M13" s="117"/>
      <c r="N13" s="117"/>
      <c r="O13" s="117"/>
      <c r="P13" s="117"/>
      <c r="Q13" s="117"/>
      <c r="R13" s="117"/>
      <c r="S13" s="117"/>
      <c r="T13" s="117"/>
      <c r="U13" s="117"/>
      <c r="V13" s="117"/>
      <c r="W13" s="117"/>
      <c r="X13" s="117"/>
      <c r="Y13" s="117"/>
      <c r="Z13" s="117"/>
    </row>
    <row r="14" ht="13.5" customHeight="1">
      <c r="A14" s="42"/>
      <c r="B14" s="43"/>
      <c r="C14" s="136">
        <f t="shared" si="4"/>
        <v>5</v>
      </c>
      <c r="D14" s="133" t="str">
        <f t="shared" si="1"/>
        <v/>
      </c>
      <c r="E14" s="137">
        <f t="shared" si="2"/>
        <v>0.008912655971</v>
      </c>
      <c r="F14" s="133">
        <f t="shared" si="3"/>
        <v>0</v>
      </c>
      <c r="G14" s="138">
        <f t="shared" si="5"/>
        <v>0</v>
      </c>
      <c r="H14" s="43"/>
      <c r="I14" s="124"/>
      <c r="J14" s="124"/>
      <c r="K14" s="124"/>
      <c r="L14" s="42"/>
      <c r="M14" s="117"/>
      <c r="N14" s="117"/>
      <c r="O14" s="117"/>
      <c r="P14" s="117"/>
      <c r="Q14" s="117"/>
      <c r="R14" s="117"/>
      <c r="S14" s="117"/>
      <c r="T14" s="117"/>
      <c r="U14" s="117"/>
      <c r="V14" s="117"/>
      <c r="W14" s="117"/>
      <c r="X14" s="117"/>
      <c r="Y14" s="117"/>
      <c r="Z14" s="117"/>
    </row>
    <row r="15" ht="13.5" customHeight="1">
      <c r="A15" s="42"/>
      <c r="B15" s="43"/>
      <c r="C15" s="136">
        <f t="shared" si="4"/>
        <v>6</v>
      </c>
      <c r="D15" s="133" t="str">
        <f t="shared" si="1"/>
        <v/>
      </c>
      <c r="E15" s="137">
        <f t="shared" si="2"/>
        <v>0.01069518717</v>
      </c>
      <c r="F15" s="133">
        <f t="shared" si="3"/>
        <v>0</v>
      </c>
      <c r="G15" s="138">
        <f t="shared" si="5"/>
        <v>0</v>
      </c>
      <c r="H15" s="43"/>
      <c r="I15" s="124"/>
      <c r="J15" s="124"/>
      <c r="K15" s="124"/>
      <c r="L15" s="42"/>
      <c r="M15" s="117"/>
      <c r="N15" s="117"/>
      <c r="O15" s="117"/>
      <c r="P15" s="117"/>
      <c r="Q15" s="117"/>
      <c r="R15" s="117"/>
      <c r="S15" s="117"/>
      <c r="T15" s="117"/>
      <c r="U15" s="117"/>
      <c r="V15" s="117"/>
      <c r="W15" s="117"/>
      <c r="X15" s="117"/>
      <c r="Y15" s="117"/>
      <c r="Z15" s="117"/>
    </row>
    <row r="16" ht="13.5" customHeight="1">
      <c r="A16" s="42"/>
      <c r="B16" s="43"/>
      <c r="C16" s="136">
        <f t="shared" si="4"/>
        <v>7</v>
      </c>
      <c r="D16" s="133" t="str">
        <f t="shared" si="1"/>
        <v/>
      </c>
      <c r="E16" s="137">
        <f t="shared" si="2"/>
        <v>0.01247771836</v>
      </c>
      <c r="F16" s="133">
        <f t="shared" si="3"/>
        <v>0</v>
      </c>
      <c r="G16" s="138">
        <f t="shared" si="5"/>
        <v>0</v>
      </c>
      <c r="H16" s="43"/>
      <c r="I16" s="124"/>
      <c r="J16" s="124"/>
      <c r="K16" s="124"/>
      <c r="L16" s="42"/>
      <c r="M16" s="117"/>
      <c r="N16" s="117"/>
      <c r="O16" s="117"/>
      <c r="P16" s="117"/>
      <c r="Q16" s="117"/>
      <c r="R16" s="117"/>
      <c r="S16" s="117"/>
      <c r="T16" s="117"/>
      <c r="U16" s="117"/>
      <c r="V16" s="117"/>
      <c r="W16" s="117"/>
      <c r="X16" s="117"/>
      <c r="Y16" s="117"/>
      <c r="Z16" s="117"/>
    </row>
    <row r="17" ht="13.5" customHeight="1">
      <c r="A17" s="42"/>
      <c r="B17" s="43"/>
      <c r="C17" s="136">
        <f t="shared" si="4"/>
        <v>8</v>
      </c>
      <c r="D17" s="133" t="str">
        <f t="shared" si="1"/>
        <v/>
      </c>
      <c r="E17" s="137">
        <f t="shared" si="2"/>
        <v>0.01426024955</v>
      </c>
      <c r="F17" s="133">
        <f t="shared" si="3"/>
        <v>0</v>
      </c>
      <c r="G17" s="138">
        <f t="shared" si="5"/>
        <v>0</v>
      </c>
      <c r="H17" s="43"/>
      <c r="I17" s="124"/>
      <c r="J17" s="124"/>
      <c r="K17" s="124"/>
      <c r="L17" s="42"/>
      <c r="M17" s="117"/>
      <c r="N17" s="117"/>
      <c r="O17" s="117"/>
      <c r="P17" s="117"/>
      <c r="Q17" s="117"/>
      <c r="R17" s="117"/>
      <c r="S17" s="117"/>
      <c r="T17" s="117"/>
      <c r="U17" s="117"/>
      <c r="V17" s="117"/>
      <c r="W17" s="117"/>
      <c r="X17" s="117"/>
      <c r="Y17" s="117"/>
      <c r="Z17" s="117"/>
    </row>
    <row r="18" ht="13.5" customHeight="1">
      <c r="A18" s="42"/>
      <c r="B18" s="43"/>
      <c r="C18" s="136">
        <f t="shared" si="4"/>
        <v>9</v>
      </c>
      <c r="D18" s="133" t="str">
        <f t="shared" si="1"/>
        <v/>
      </c>
      <c r="E18" s="137">
        <f t="shared" si="2"/>
        <v>0.01604278075</v>
      </c>
      <c r="F18" s="133">
        <f t="shared" si="3"/>
        <v>0</v>
      </c>
      <c r="G18" s="138">
        <f t="shared" si="5"/>
        <v>0</v>
      </c>
      <c r="H18" s="43"/>
      <c r="I18" s="124"/>
      <c r="J18" s="124"/>
      <c r="K18" s="124"/>
      <c r="L18" s="42"/>
      <c r="M18" s="117"/>
      <c r="N18" s="117"/>
      <c r="O18" s="117"/>
      <c r="P18" s="117"/>
      <c r="Q18" s="117"/>
      <c r="R18" s="117"/>
      <c r="S18" s="117"/>
      <c r="T18" s="117"/>
      <c r="U18" s="117"/>
      <c r="V18" s="117"/>
      <c r="W18" s="117"/>
      <c r="X18" s="117"/>
      <c r="Y18" s="117"/>
      <c r="Z18" s="117"/>
    </row>
    <row r="19" ht="13.5" customHeight="1">
      <c r="A19" s="42"/>
      <c r="B19" s="43"/>
      <c r="C19" s="136">
        <f t="shared" si="4"/>
        <v>10</v>
      </c>
      <c r="D19" s="133" t="str">
        <f t="shared" si="1"/>
        <v/>
      </c>
      <c r="E19" s="137">
        <f t="shared" si="2"/>
        <v>0.01782531194</v>
      </c>
      <c r="F19" s="133">
        <f t="shared" si="3"/>
        <v>0</v>
      </c>
      <c r="G19" s="138">
        <f t="shared" si="5"/>
        <v>0</v>
      </c>
      <c r="H19" s="43"/>
      <c r="I19" s="124"/>
      <c r="J19" s="124"/>
      <c r="K19" s="124"/>
      <c r="L19" s="42"/>
      <c r="M19" s="117"/>
      <c r="N19" s="117"/>
      <c r="O19" s="117"/>
      <c r="P19" s="117"/>
      <c r="Q19" s="117"/>
      <c r="R19" s="117"/>
      <c r="S19" s="117"/>
      <c r="T19" s="117"/>
      <c r="U19" s="117"/>
      <c r="V19" s="117"/>
      <c r="W19" s="117"/>
      <c r="X19" s="117"/>
      <c r="Y19" s="117"/>
      <c r="Z19" s="117"/>
    </row>
    <row r="20" ht="13.5" customHeight="1">
      <c r="A20" s="42"/>
      <c r="B20" s="43"/>
      <c r="C20" s="136">
        <f t="shared" si="4"/>
        <v>11</v>
      </c>
      <c r="D20" s="133" t="str">
        <f t="shared" si="1"/>
        <v/>
      </c>
      <c r="E20" s="137">
        <f t="shared" si="2"/>
        <v>0.01960784314</v>
      </c>
      <c r="F20" s="133">
        <f t="shared" si="3"/>
        <v>0</v>
      </c>
      <c r="G20" s="138">
        <f t="shared" si="5"/>
        <v>0</v>
      </c>
      <c r="H20" s="43"/>
      <c r="I20" s="124"/>
      <c r="J20" s="124"/>
      <c r="K20" s="124"/>
      <c r="L20" s="42"/>
      <c r="M20" s="117"/>
      <c r="N20" s="117"/>
      <c r="O20" s="117"/>
      <c r="P20" s="117"/>
      <c r="Q20" s="117"/>
      <c r="R20" s="117"/>
      <c r="S20" s="117"/>
      <c r="T20" s="117"/>
      <c r="U20" s="117"/>
      <c r="V20" s="117"/>
      <c r="W20" s="117"/>
      <c r="X20" s="117"/>
      <c r="Y20" s="117"/>
      <c r="Z20" s="117"/>
    </row>
    <row r="21" ht="13.5" customHeight="1">
      <c r="A21" s="42"/>
      <c r="B21" s="43"/>
      <c r="C21" s="136">
        <f t="shared" si="4"/>
        <v>12</v>
      </c>
      <c r="D21" s="133" t="str">
        <f t="shared" si="1"/>
        <v/>
      </c>
      <c r="E21" s="137">
        <f t="shared" si="2"/>
        <v>0.02139037433</v>
      </c>
      <c r="F21" s="133">
        <f t="shared" si="3"/>
        <v>0</v>
      </c>
      <c r="G21" s="138">
        <f t="shared" si="5"/>
        <v>0</v>
      </c>
      <c r="H21" s="43"/>
      <c r="I21" s="124"/>
      <c r="J21" s="124"/>
      <c r="K21" s="124"/>
      <c r="L21" s="42"/>
      <c r="M21" s="117"/>
      <c r="N21" s="117"/>
      <c r="O21" s="117"/>
      <c r="P21" s="117"/>
      <c r="Q21" s="117"/>
      <c r="R21" s="117"/>
      <c r="S21" s="117"/>
      <c r="T21" s="117"/>
      <c r="U21" s="117"/>
      <c r="V21" s="117"/>
      <c r="W21" s="117"/>
      <c r="X21" s="117"/>
      <c r="Y21" s="117"/>
      <c r="Z21" s="117"/>
    </row>
    <row r="22" ht="13.5" customHeight="1">
      <c r="A22" s="42"/>
      <c r="B22" s="43"/>
      <c r="C22" s="136">
        <f t="shared" si="4"/>
        <v>13</v>
      </c>
      <c r="D22" s="133" t="str">
        <f t="shared" si="1"/>
        <v/>
      </c>
      <c r="E22" s="137">
        <f t="shared" si="2"/>
        <v>0.02317290553</v>
      </c>
      <c r="F22" s="133">
        <f t="shared" si="3"/>
        <v>0</v>
      </c>
      <c r="G22" s="138">
        <f t="shared" si="5"/>
        <v>0</v>
      </c>
      <c r="H22" s="43"/>
      <c r="I22" s="124"/>
      <c r="J22" s="124"/>
      <c r="K22" s="124"/>
      <c r="L22" s="42"/>
      <c r="M22" s="117"/>
      <c r="N22" s="117"/>
      <c r="O22" s="117"/>
      <c r="P22" s="117"/>
      <c r="Q22" s="117"/>
      <c r="R22" s="117"/>
      <c r="S22" s="117"/>
      <c r="T22" s="117"/>
      <c r="U22" s="117"/>
      <c r="V22" s="117"/>
      <c r="W22" s="117"/>
      <c r="X22" s="117"/>
      <c r="Y22" s="117"/>
      <c r="Z22" s="117"/>
    </row>
    <row r="23" ht="13.5" customHeight="1">
      <c r="A23" s="42"/>
      <c r="B23" s="43"/>
      <c r="C23" s="136">
        <f t="shared" si="4"/>
        <v>14</v>
      </c>
      <c r="D23" s="133" t="str">
        <f t="shared" si="1"/>
        <v/>
      </c>
      <c r="E23" s="137">
        <f t="shared" si="2"/>
        <v>0.02495543672</v>
      </c>
      <c r="F23" s="133">
        <f t="shared" si="3"/>
        <v>0</v>
      </c>
      <c r="G23" s="138">
        <f t="shared" si="5"/>
        <v>0</v>
      </c>
      <c r="H23" s="43"/>
      <c r="I23" s="124"/>
      <c r="J23" s="124"/>
      <c r="K23" s="124"/>
      <c r="L23" s="42"/>
      <c r="M23" s="117"/>
      <c r="N23" s="117"/>
      <c r="O23" s="117"/>
      <c r="P23" s="117"/>
      <c r="Q23" s="117"/>
      <c r="R23" s="117"/>
      <c r="S23" s="117"/>
      <c r="T23" s="117"/>
      <c r="U23" s="117"/>
      <c r="V23" s="117"/>
      <c r="W23" s="117"/>
      <c r="X23" s="117"/>
      <c r="Y23" s="117"/>
      <c r="Z23" s="117"/>
    </row>
    <row r="24" ht="13.5" customHeight="1">
      <c r="A24" s="42"/>
      <c r="B24" s="43"/>
      <c r="C24" s="136">
        <f t="shared" si="4"/>
        <v>15</v>
      </c>
      <c r="D24" s="133" t="str">
        <f t="shared" si="1"/>
        <v/>
      </c>
      <c r="E24" s="137">
        <f t="shared" si="2"/>
        <v>0.02673796791</v>
      </c>
      <c r="F24" s="133">
        <f t="shared" si="3"/>
        <v>0</v>
      </c>
      <c r="G24" s="138">
        <f t="shared" si="5"/>
        <v>0</v>
      </c>
      <c r="H24" s="43"/>
      <c r="I24" s="124"/>
      <c r="J24" s="124"/>
      <c r="K24" s="124"/>
      <c r="L24" s="42"/>
      <c r="M24" s="117"/>
      <c r="N24" s="117"/>
      <c r="O24" s="117"/>
      <c r="P24" s="117"/>
      <c r="Q24" s="117"/>
      <c r="R24" s="117"/>
      <c r="S24" s="117"/>
      <c r="T24" s="117"/>
      <c r="U24" s="117"/>
      <c r="V24" s="117"/>
      <c r="W24" s="117"/>
      <c r="X24" s="117"/>
      <c r="Y24" s="117"/>
      <c r="Z24" s="117"/>
    </row>
    <row r="25" ht="13.5" customHeight="1">
      <c r="A25" s="42"/>
      <c r="B25" s="43"/>
      <c r="C25" s="136">
        <f t="shared" si="4"/>
        <v>16</v>
      </c>
      <c r="D25" s="133" t="str">
        <f t="shared" si="1"/>
        <v/>
      </c>
      <c r="E25" s="137">
        <f t="shared" si="2"/>
        <v>0.02852049911</v>
      </c>
      <c r="F25" s="133">
        <f t="shared" si="3"/>
        <v>0</v>
      </c>
      <c r="G25" s="138">
        <f t="shared" si="5"/>
        <v>0</v>
      </c>
      <c r="H25" s="43"/>
      <c r="I25" s="124"/>
      <c r="J25" s="124"/>
      <c r="K25" s="124"/>
      <c r="L25" s="42"/>
      <c r="M25" s="117"/>
      <c r="N25" s="117"/>
      <c r="O25" s="117"/>
      <c r="P25" s="117"/>
      <c r="Q25" s="117"/>
      <c r="R25" s="117"/>
      <c r="S25" s="117"/>
      <c r="T25" s="117"/>
      <c r="U25" s="117"/>
      <c r="V25" s="117"/>
      <c r="W25" s="117"/>
      <c r="X25" s="117"/>
      <c r="Y25" s="117"/>
      <c r="Z25" s="117"/>
    </row>
    <row r="26" ht="13.5" customHeight="1">
      <c r="A26" s="42"/>
      <c r="B26" s="43"/>
      <c r="C26" s="136">
        <f t="shared" si="4"/>
        <v>17</v>
      </c>
      <c r="D26" s="133" t="str">
        <f t="shared" si="1"/>
        <v/>
      </c>
      <c r="E26" s="137">
        <f t="shared" si="2"/>
        <v>0.0303030303</v>
      </c>
      <c r="F26" s="133">
        <f t="shared" si="3"/>
        <v>0</v>
      </c>
      <c r="G26" s="138">
        <f t="shared" si="5"/>
        <v>0</v>
      </c>
      <c r="H26" s="43"/>
      <c r="I26" s="124"/>
      <c r="J26" s="124"/>
      <c r="K26" s="124"/>
      <c r="L26" s="42"/>
      <c r="M26" s="117"/>
      <c r="N26" s="117"/>
      <c r="O26" s="117"/>
      <c r="P26" s="117"/>
      <c r="Q26" s="117"/>
      <c r="R26" s="117"/>
      <c r="S26" s="117"/>
      <c r="T26" s="117"/>
      <c r="U26" s="117"/>
      <c r="V26" s="117"/>
      <c r="W26" s="117"/>
      <c r="X26" s="117"/>
      <c r="Y26" s="117"/>
      <c r="Z26" s="117"/>
    </row>
    <row r="27" ht="13.5" customHeight="1">
      <c r="A27" s="42"/>
      <c r="B27" s="43"/>
      <c r="C27" s="136">
        <f t="shared" si="4"/>
        <v>18</v>
      </c>
      <c r="D27" s="133" t="str">
        <f t="shared" si="1"/>
        <v/>
      </c>
      <c r="E27" s="137">
        <f t="shared" si="2"/>
        <v>0.0320855615</v>
      </c>
      <c r="F27" s="133">
        <f t="shared" si="3"/>
        <v>0</v>
      </c>
      <c r="G27" s="138">
        <f t="shared" si="5"/>
        <v>0</v>
      </c>
      <c r="H27" s="43"/>
      <c r="I27" s="124"/>
      <c r="J27" s="124"/>
      <c r="K27" s="124"/>
      <c r="L27" s="42"/>
      <c r="M27" s="117"/>
      <c r="N27" s="117"/>
      <c r="O27" s="117"/>
      <c r="P27" s="117"/>
      <c r="Q27" s="117"/>
      <c r="R27" s="117"/>
      <c r="S27" s="117"/>
      <c r="T27" s="117"/>
      <c r="U27" s="117"/>
      <c r="V27" s="117"/>
      <c r="W27" s="117"/>
      <c r="X27" s="117"/>
      <c r="Y27" s="117"/>
      <c r="Z27" s="117"/>
    </row>
    <row r="28" ht="13.5" customHeight="1">
      <c r="A28" s="42"/>
      <c r="B28" s="43"/>
      <c r="C28" s="136">
        <f t="shared" si="4"/>
        <v>19</v>
      </c>
      <c r="D28" s="133" t="str">
        <f t="shared" si="1"/>
        <v/>
      </c>
      <c r="E28" s="137">
        <f t="shared" si="2"/>
        <v>0.03386809269</v>
      </c>
      <c r="F28" s="133">
        <f t="shared" si="3"/>
        <v>0</v>
      </c>
      <c r="G28" s="138">
        <f t="shared" si="5"/>
        <v>0</v>
      </c>
      <c r="H28" s="43"/>
      <c r="I28" s="124"/>
      <c r="J28" s="124"/>
      <c r="K28" s="124"/>
      <c r="L28" s="42"/>
      <c r="M28" s="117"/>
      <c r="N28" s="117"/>
      <c r="O28" s="117"/>
      <c r="P28" s="117"/>
      <c r="Q28" s="117"/>
      <c r="R28" s="117"/>
      <c r="S28" s="117"/>
      <c r="T28" s="117"/>
      <c r="U28" s="117"/>
      <c r="V28" s="117"/>
      <c r="W28" s="117"/>
      <c r="X28" s="117"/>
      <c r="Y28" s="117"/>
      <c r="Z28" s="117"/>
    </row>
    <row r="29" ht="13.5" customHeight="1">
      <c r="A29" s="42"/>
      <c r="B29" s="43"/>
      <c r="C29" s="136">
        <f t="shared" si="4"/>
        <v>20</v>
      </c>
      <c r="D29" s="133" t="str">
        <f t="shared" si="1"/>
        <v/>
      </c>
      <c r="E29" s="137">
        <f t="shared" si="2"/>
        <v>0.03565062389</v>
      </c>
      <c r="F29" s="133">
        <f t="shared" si="3"/>
        <v>0</v>
      </c>
      <c r="G29" s="138">
        <f t="shared" si="5"/>
        <v>0</v>
      </c>
      <c r="H29" s="43"/>
      <c r="I29" s="124"/>
      <c r="J29" s="124"/>
      <c r="K29" s="124"/>
      <c r="L29" s="42"/>
      <c r="M29" s="117"/>
      <c r="N29" s="117"/>
      <c r="O29" s="117"/>
      <c r="P29" s="117"/>
      <c r="Q29" s="117"/>
      <c r="R29" s="117"/>
      <c r="S29" s="117"/>
      <c r="T29" s="117"/>
      <c r="U29" s="117"/>
      <c r="V29" s="117"/>
      <c r="W29" s="117"/>
      <c r="X29" s="117"/>
      <c r="Y29" s="117"/>
      <c r="Z29" s="117"/>
    </row>
    <row r="30" ht="13.5" customHeight="1">
      <c r="A30" s="42"/>
      <c r="B30" s="43"/>
      <c r="C30" s="136">
        <f t="shared" si="4"/>
        <v>21</v>
      </c>
      <c r="D30" s="133" t="str">
        <f t="shared" si="1"/>
        <v/>
      </c>
      <c r="E30" s="137">
        <f t="shared" si="2"/>
        <v>0.03743315508</v>
      </c>
      <c r="F30" s="133">
        <f t="shared" si="3"/>
        <v>0</v>
      </c>
      <c r="G30" s="138">
        <f t="shared" si="5"/>
        <v>0</v>
      </c>
      <c r="H30" s="43"/>
      <c r="I30" s="124"/>
      <c r="J30" s="124"/>
      <c r="K30" s="124"/>
      <c r="L30" s="42"/>
      <c r="M30" s="117"/>
      <c r="N30" s="117"/>
      <c r="O30" s="117"/>
      <c r="P30" s="117"/>
      <c r="Q30" s="117"/>
      <c r="R30" s="117"/>
      <c r="S30" s="117"/>
      <c r="T30" s="117"/>
      <c r="U30" s="117"/>
      <c r="V30" s="117"/>
      <c r="W30" s="117"/>
      <c r="X30" s="117"/>
      <c r="Y30" s="117"/>
      <c r="Z30" s="117"/>
    </row>
    <row r="31" ht="13.5" customHeight="1">
      <c r="A31" s="42"/>
      <c r="B31" s="43"/>
      <c r="C31" s="136">
        <f t="shared" si="4"/>
        <v>22</v>
      </c>
      <c r="D31" s="133" t="str">
        <f t="shared" si="1"/>
        <v/>
      </c>
      <c r="E31" s="137">
        <f t="shared" si="2"/>
        <v>0.03921568627</v>
      </c>
      <c r="F31" s="133">
        <f t="shared" si="3"/>
        <v>0</v>
      </c>
      <c r="G31" s="138">
        <f t="shared" si="5"/>
        <v>0</v>
      </c>
      <c r="H31" s="43"/>
      <c r="I31" s="124"/>
      <c r="J31" s="124"/>
      <c r="K31" s="124"/>
      <c r="L31" s="42"/>
      <c r="M31" s="117"/>
      <c r="N31" s="117"/>
      <c r="O31" s="117"/>
      <c r="P31" s="117"/>
      <c r="Q31" s="117"/>
      <c r="R31" s="117"/>
      <c r="S31" s="117"/>
      <c r="T31" s="117"/>
      <c r="U31" s="117"/>
      <c r="V31" s="117"/>
      <c r="W31" s="117"/>
      <c r="X31" s="117"/>
      <c r="Y31" s="117"/>
      <c r="Z31" s="117"/>
    </row>
    <row r="32" ht="13.5" customHeight="1">
      <c r="A32" s="42"/>
      <c r="B32" s="43"/>
      <c r="C32" s="136">
        <f t="shared" si="4"/>
        <v>23</v>
      </c>
      <c r="D32" s="133" t="str">
        <f t="shared" si="1"/>
        <v/>
      </c>
      <c r="E32" s="137">
        <f t="shared" si="2"/>
        <v>0.04099821747</v>
      </c>
      <c r="F32" s="133">
        <f t="shared" si="3"/>
        <v>0</v>
      </c>
      <c r="G32" s="138">
        <f t="shared" si="5"/>
        <v>0</v>
      </c>
      <c r="H32" s="43"/>
      <c r="I32" s="124"/>
      <c r="J32" s="124"/>
      <c r="K32" s="124"/>
      <c r="L32" s="42"/>
      <c r="M32" s="117"/>
      <c r="N32" s="117"/>
      <c r="O32" s="117"/>
      <c r="P32" s="117"/>
      <c r="Q32" s="117"/>
      <c r="R32" s="117"/>
      <c r="S32" s="117"/>
      <c r="T32" s="117"/>
      <c r="U32" s="117"/>
      <c r="V32" s="117"/>
      <c r="W32" s="117"/>
      <c r="X32" s="117"/>
      <c r="Y32" s="117"/>
      <c r="Z32" s="117"/>
    </row>
    <row r="33" ht="13.5" customHeight="1">
      <c r="A33" s="42"/>
      <c r="B33" s="43"/>
      <c r="C33" s="136">
        <f t="shared" si="4"/>
        <v>24</v>
      </c>
      <c r="D33" s="133" t="str">
        <f t="shared" si="1"/>
        <v/>
      </c>
      <c r="E33" s="137">
        <f t="shared" si="2"/>
        <v>0.04278074866</v>
      </c>
      <c r="F33" s="133">
        <f t="shared" si="3"/>
        <v>0</v>
      </c>
      <c r="G33" s="138">
        <f t="shared" si="5"/>
        <v>0</v>
      </c>
      <c r="H33" s="43"/>
      <c r="I33" s="124"/>
      <c r="J33" s="124"/>
      <c r="K33" s="124"/>
      <c r="L33" s="42"/>
      <c r="M33" s="117"/>
      <c r="N33" s="117"/>
      <c r="O33" s="117"/>
      <c r="P33" s="117"/>
      <c r="Q33" s="117"/>
      <c r="R33" s="117"/>
      <c r="S33" s="117"/>
      <c r="T33" s="117"/>
      <c r="U33" s="117"/>
      <c r="V33" s="117"/>
      <c r="W33" s="117"/>
      <c r="X33" s="117"/>
      <c r="Y33" s="117"/>
      <c r="Z33" s="117"/>
    </row>
    <row r="34" ht="13.5" customHeight="1">
      <c r="A34" s="42"/>
      <c r="B34" s="43"/>
      <c r="C34" s="136">
        <f t="shared" si="4"/>
        <v>25</v>
      </c>
      <c r="D34" s="133" t="str">
        <f t="shared" si="1"/>
        <v/>
      </c>
      <c r="E34" s="137">
        <f t="shared" si="2"/>
        <v>0.04456327986</v>
      </c>
      <c r="F34" s="133">
        <f t="shared" si="3"/>
        <v>0</v>
      </c>
      <c r="G34" s="138">
        <f t="shared" si="5"/>
        <v>0</v>
      </c>
      <c r="H34" s="43"/>
      <c r="I34" s="124"/>
      <c r="J34" s="124"/>
      <c r="K34" s="124"/>
      <c r="L34" s="42"/>
      <c r="M34" s="117"/>
      <c r="N34" s="117"/>
      <c r="O34" s="117"/>
      <c r="P34" s="117"/>
      <c r="Q34" s="117"/>
      <c r="R34" s="117"/>
      <c r="S34" s="117"/>
      <c r="T34" s="117"/>
      <c r="U34" s="117"/>
      <c r="V34" s="117"/>
      <c r="W34" s="117"/>
      <c r="X34" s="117"/>
      <c r="Y34" s="117"/>
      <c r="Z34" s="117"/>
    </row>
    <row r="35" ht="13.5" customHeight="1">
      <c r="A35" s="42"/>
      <c r="B35" s="43"/>
      <c r="C35" s="136">
        <f t="shared" si="4"/>
        <v>26</v>
      </c>
      <c r="D35" s="133" t="str">
        <f t="shared" si="1"/>
        <v/>
      </c>
      <c r="E35" s="137">
        <f t="shared" si="2"/>
        <v>0.04634581105</v>
      </c>
      <c r="F35" s="133">
        <f t="shared" si="3"/>
        <v>0</v>
      </c>
      <c r="G35" s="138">
        <f t="shared" si="5"/>
        <v>0</v>
      </c>
      <c r="H35" s="43"/>
      <c r="I35" s="124"/>
      <c r="J35" s="124"/>
      <c r="K35" s="124"/>
      <c r="L35" s="42"/>
      <c r="M35" s="117"/>
      <c r="N35" s="117"/>
      <c r="O35" s="117"/>
      <c r="P35" s="117"/>
      <c r="Q35" s="117"/>
      <c r="R35" s="117"/>
      <c r="S35" s="117"/>
      <c r="T35" s="117"/>
      <c r="U35" s="117"/>
      <c r="V35" s="117"/>
      <c r="W35" s="117"/>
      <c r="X35" s="117"/>
      <c r="Y35" s="117"/>
      <c r="Z35" s="117"/>
    </row>
    <row r="36" ht="13.5" customHeight="1">
      <c r="A36" s="42"/>
      <c r="B36" s="43"/>
      <c r="C36" s="136">
        <f t="shared" si="4"/>
        <v>27</v>
      </c>
      <c r="D36" s="133" t="str">
        <f t="shared" si="1"/>
        <v/>
      </c>
      <c r="E36" s="137">
        <f t="shared" si="2"/>
        <v>0.04812834225</v>
      </c>
      <c r="F36" s="133">
        <f t="shared" si="3"/>
        <v>0</v>
      </c>
      <c r="G36" s="138">
        <f t="shared" si="5"/>
        <v>0</v>
      </c>
      <c r="H36" s="43"/>
      <c r="I36" s="124"/>
      <c r="J36" s="124"/>
      <c r="K36" s="124"/>
      <c r="L36" s="42"/>
      <c r="M36" s="117"/>
      <c r="N36" s="117"/>
      <c r="O36" s="117"/>
      <c r="P36" s="117"/>
      <c r="Q36" s="117"/>
      <c r="R36" s="117"/>
      <c r="S36" s="117"/>
      <c r="T36" s="117"/>
      <c r="U36" s="117"/>
      <c r="V36" s="117"/>
      <c r="W36" s="117"/>
      <c r="X36" s="117"/>
      <c r="Y36" s="117"/>
      <c r="Z36" s="117"/>
    </row>
    <row r="37" ht="13.5" customHeight="1">
      <c r="A37" s="42"/>
      <c r="B37" s="43"/>
      <c r="C37" s="136">
        <f t="shared" si="4"/>
        <v>28</v>
      </c>
      <c r="D37" s="133" t="str">
        <f t="shared" si="1"/>
        <v/>
      </c>
      <c r="E37" s="137">
        <f t="shared" si="2"/>
        <v>0.04991087344</v>
      </c>
      <c r="F37" s="133">
        <f t="shared" si="3"/>
        <v>0</v>
      </c>
      <c r="G37" s="138">
        <f t="shared" si="5"/>
        <v>0</v>
      </c>
      <c r="H37" s="43"/>
      <c r="I37" s="124"/>
      <c r="J37" s="124"/>
      <c r="K37" s="124"/>
      <c r="L37" s="42"/>
      <c r="M37" s="117"/>
      <c r="N37" s="117"/>
      <c r="O37" s="117"/>
      <c r="P37" s="117"/>
      <c r="Q37" s="117"/>
      <c r="R37" s="117"/>
      <c r="S37" s="117"/>
      <c r="T37" s="117"/>
      <c r="U37" s="117"/>
      <c r="V37" s="117"/>
      <c r="W37" s="117"/>
      <c r="X37" s="117"/>
      <c r="Y37" s="117"/>
      <c r="Z37" s="117"/>
    </row>
    <row r="38" ht="13.5" customHeight="1">
      <c r="A38" s="42"/>
      <c r="B38" s="43"/>
      <c r="C38" s="136">
        <f t="shared" si="4"/>
        <v>29</v>
      </c>
      <c r="D38" s="133" t="str">
        <f t="shared" si="1"/>
        <v/>
      </c>
      <c r="E38" s="137">
        <f t="shared" si="2"/>
        <v>0.05169340463</v>
      </c>
      <c r="F38" s="133">
        <f t="shared" si="3"/>
        <v>0</v>
      </c>
      <c r="G38" s="138">
        <f t="shared" si="5"/>
        <v>0</v>
      </c>
      <c r="H38" s="43"/>
      <c r="I38" s="124"/>
      <c r="J38" s="124"/>
      <c r="K38" s="124"/>
      <c r="L38" s="42"/>
      <c r="M38" s="117"/>
      <c r="N38" s="117"/>
      <c r="O38" s="117"/>
      <c r="P38" s="117"/>
      <c r="Q38" s="117"/>
      <c r="R38" s="117"/>
      <c r="S38" s="117"/>
      <c r="T38" s="117"/>
      <c r="U38" s="117"/>
      <c r="V38" s="117"/>
      <c r="W38" s="117"/>
      <c r="X38" s="117"/>
      <c r="Y38" s="117"/>
      <c r="Z38" s="117"/>
    </row>
    <row r="39" ht="13.5" customHeight="1">
      <c r="A39" s="42"/>
      <c r="B39" s="43"/>
      <c r="C39" s="136">
        <f t="shared" si="4"/>
        <v>30</v>
      </c>
      <c r="D39" s="133" t="str">
        <f t="shared" si="1"/>
        <v/>
      </c>
      <c r="E39" s="137">
        <f t="shared" si="2"/>
        <v>0.05347593583</v>
      </c>
      <c r="F39" s="133">
        <f t="shared" si="3"/>
        <v>0</v>
      </c>
      <c r="G39" s="138">
        <f t="shared" si="5"/>
        <v>0</v>
      </c>
      <c r="H39" s="43"/>
      <c r="I39" s="124"/>
      <c r="J39" s="124"/>
      <c r="K39" s="124"/>
      <c r="L39" s="42"/>
      <c r="M39" s="117"/>
      <c r="N39" s="117"/>
      <c r="O39" s="117"/>
      <c r="P39" s="117"/>
      <c r="Q39" s="117"/>
      <c r="R39" s="117"/>
      <c r="S39" s="117"/>
      <c r="T39" s="117"/>
      <c r="U39" s="117"/>
      <c r="V39" s="117"/>
      <c r="W39" s="117"/>
      <c r="X39" s="117"/>
      <c r="Y39" s="117"/>
      <c r="Z39" s="117"/>
    </row>
    <row r="40" ht="13.5" customHeight="1">
      <c r="A40" s="42"/>
      <c r="B40" s="43"/>
      <c r="C40" s="136">
        <f t="shared" si="4"/>
        <v>31</v>
      </c>
      <c r="D40" s="133" t="str">
        <f t="shared" si="1"/>
        <v/>
      </c>
      <c r="E40" s="137">
        <f t="shared" si="2"/>
        <v>0.05525846702</v>
      </c>
      <c r="F40" s="133">
        <f t="shared" si="3"/>
        <v>0</v>
      </c>
      <c r="G40" s="138">
        <f t="shared" si="5"/>
        <v>0</v>
      </c>
      <c r="H40" s="43"/>
      <c r="I40" s="124"/>
      <c r="J40" s="124"/>
      <c r="K40" s="124"/>
      <c r="L40" s="42"/>
      <c r="M40" s="117"/>
      <c r="N40" s="117"/>
      <c r="O40" s="117"/>
      <c r="P40" s="117"/>
      <c r="Q40" s="117"/>
      <c r="R40" s="117"/>
      <c r="S40" s="117"/>
      <c r="T40" s="117"/>
      <c r="U40" s="117"/>
      <c r="V40" s="117"/>
      <c r="W40" s="117"/>
      <c r="X40" s="117"/>
      <c r="Y40" s="117"/>
      <c r="Z40" s="117"/>
    </row>
    <row r="41" ht="13.5" customHeight="1">
      <c r="A41" s="42"/>
      <c r="B41" s="43"/>
      <c r="C41" s="136">
        <f t="shared" si="4"/>
        <v>32</v>
      </c>
      <c r="D41" s="133" t="str">
        <f t="shared" si="1"/>
        <v/>
      </c>
      <c r="E41" s="137">
        <f t="shared" si="2"/>
        <v>0.05704099822</v>
      </c>
      <c r="F41" s="133">
        <f t="shared" si="3"/>
        <v>0</v>
      </c>
      <c r="G41" s="138">
        <f t="shared" si="5"/>
        <v>0</v>
      </c>
      <c r="H41" s="43"/>
      <c r="I41" s="124"/>
      <c r="J41" s="124"/>
      <c r="K41" s="124"/>
      <c r="L41" s="42"/>
      <c r="M41" s="117"/>
      <c r="N41" s="117"/>
      <c r="O41" s="117"/>
      <c r="P41" s="117"/>
      <c r="Q41" s="117"/>
      <c r="R41" s="117"/>
      <c r="S41" s="117"/>
      <c r="T41" s="117"/>
      <c r="U41" s="117"/>
      <c r="V41" s="117"/>
      <c r="W41" s="117"/>
      <c r="X41" s="117"/>
      <c r="Y41" s="117"/>
      <c r="Z41" s="117"/>
    </row>
    <row r="42" ht="13.5" customHeight="1">
      <c r="A42" s="42"/>
      <c r="B42" s="43"/>
      <c r="C42" s="136">
        <f t="shared" si="4"/>
        <v>33</v>
      </c>
      <c r="D42" s="133" t="str">
        <f t="shared" si="1"/>
        <v/>
      </c>
      <c r="E42" s="137">
        <f t="shared" si="2"/>
        <v>0.05882352941</v>
      </c>
      <c r="F42" s="133">
        <f t="shared" si="3"/>
        <v>0</v>
      </c>
      <c r="G42" s="138">
        <f t="shared" si="5"/>
        <v>0</v>
      </c>
      <c r="H42" s="43"/>
      <c r="I42" s="124"/>
      <c r="J42" s="124"/>
      <c r="K42" s="124"/>
      <c r="L42" s="42"/>
      <c r="M42" s="117"/>
      <c r="N42" s="117"/>
      <c r="O42" s="117"/>
      <c r="P42" s="117"/>
      <c r="Q42" s="117"/>
      <c r="R42" s="117"/>
      <c r="S42" s="117"/>
      <c r="T42" s="117"/>
      <c r="U42" s="117"/>
      <c r="V42" s="117"/>
      <c r="W42" s="117"/>
      <c r="X42" s="117"/>
      <c r="Y42" s="117"/>
      <c r="Z42" s="117"/>
    </row>
    <row r="43" ht="13.5" customHeight="1">
      <c r="A43" s="42"/>
      <c r="B43" s="43"/>
      <c r="C43" s="125"/>
      <c r="D43" s="139" t="s">
        <v>102</v>
      </c>
      <c r="E43" s="140">
        <f t="shared" ref="E43:F43" si="6">SUM(E10:E42)</f>
        <v>1</v>
      </c>
      <c r="F43" s="141">
        <f t="shared" si="6"/>
        <v>0</v>
      </c>
      <c r="G43" s="142">
        <f>+G42-D6</f>
        <v>0</v>
      </c>
      <c r="H43" s="43"/>
      <c r="I43" s="124"/>
      <c r="J43" s="124"/>
      <c r="K43" s="124"/>
      <c r="L43" s="42"/>
      <c r="M43" s="117"/>
      <c r="N43" s="117"/>
      <c r="O43" s="117"/>
      <c r="P43" s="117"/>
      <c r="Q43" s="117"/>
      <c r="R43" s="117"/>
      <c r="S43" s="117"/>
      <c r="T43" s="117"/>
      <c r="U43" s="117"/>
      <c r="V43" s="117"/>
      <c r="W43" s="117"/>
      <c r="X43" s="117"/>
      <c r="Y43" s="117"/>
      <c r="Z43" s="117"/>
    </row>
    <row r="44" ht="13.5" customHeight="1">
      <c r="A44" s="42"/>
      <c r="B44" s="43"/>
      <c r="C44" s="125"/>
      <c r="D44" s="143"/>
      <c r="E44" s="143"/>
      <c r="F44" s="144"/>
      <c r="G44" s="143"/>
      <c r="H44" s="145"/>
      <c r="I44" s="124"/>
      <c r="J44" s="124"/>
      <c r="K44" s="124"/>
      <c r="L44" s="42"/>
      <c r="M44" s="117"/>
      <c r="N44" s="117"/>
      <c r="O44" s="117"/>
      <c r="P44" s="117"/>
      <c r="Q44" s="117"/>
      <c r="R44" s="117"/>
      <c r="S44" s="117"/>
      <c r="T44" s="117"/>
      <c r="U44" s="117"/>
      <c r="V44" s="117"/>
      <c r="W44" s="117"/>
      <c r="X44" s="117"/>
      <c r="Y44" s="117"/>
      <c r="Z44" s="117"/>
    </row>
    <row r="45" ht="15.75" customHeight="1">
      <c r="A45" s="42"/>
      <c r="B45" s="42"/>
      <c r="C45" s="42"/>
      <c r="D45" s="42"/>
      <c r="E45" s="42"/>
      <c r="F45" s="42"/>
      <c r="G45" s="42"/>
      <c r="H45" s="42"/>
      <c r="I45" s="42"/>
      <c r="J45" s="42"/>
      <c r="K45" s="42"/>
      <c r="L45" s="42"/>
      <c r="M45" s="117"/>
      <c r="N45" s="117"/>
      <c r="O45" s="117"/>
      <c r="P45" s="117"/>
      <c r="Q45" s="117"/>
      <c r="R45" s="117"/>
      <c r="S45" s="117"/>
      <c r="T45" s="117"/>
      <c r="U45" s="117"/>
      <c r="V45" s="117"/>
      <c r="W45" s="117"/>
      <c r="X45" s="117"/>
      <c r="Y45" s="117"/>
      <c r="Z45" s="117"/>
    </row>
    <row r="46" ht="15.7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5.7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5.7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5.7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5.7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5.7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5.7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5.7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5.7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5.7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5.7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5.7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5.7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5.7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5.7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5.7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5.7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5.7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5.7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5.7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5.7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5.7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5.7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5.7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5.7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5.7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5.7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5.7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5.7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5.7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5.7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5.7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5.7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5.7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5.7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5.7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5.7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5.7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5.7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5.7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5.7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5.7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5.7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5.7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5.7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5.7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5.7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5.7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5.7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5.7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5.7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5.7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5.7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5.7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5.7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5.7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5.7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5.7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5.7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5.7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5.7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5.7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5.7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5.7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5.7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5.7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5.7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5.7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5.7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5.7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5.7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5.7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5.7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5.7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5.7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5.7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5.7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5.7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5.7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5.7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5.7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5.7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5.7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5.7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5.7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5.7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5.7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5.7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5.7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5.7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5.7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5.7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5.7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5.7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5.7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5.7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5.7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5.7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5.7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5.7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5.7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5.7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5.7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5.7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5.7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5.7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5.7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5.7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5.7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5.7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5.7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5.7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5.7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5.7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5.7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5.7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5.7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5.7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5.7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5.7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5.7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5.7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5.7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5.7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5.7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5.7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5.7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5.7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5.7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5.7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5.7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5.7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5.7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5.7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5.7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5.7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5.7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5.7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5.7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5.7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5.7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5.7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5.7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5.7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5.7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5.7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5.7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5.7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5.7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5.7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5.7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5.7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5.7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5.7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5.7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5.7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5.7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5.7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5.7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5.7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5.7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5.7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5.7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5.7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5.7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5.7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5.7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5.7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5.7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5.7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5.7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5.7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5.7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5.7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5.7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5.7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5.7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5.7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5.7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5.7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5.7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5.7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5.7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5.7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5.7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5.7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5.7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5.7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5.7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5.7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5.7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5.7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5.7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5.7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5.7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5.7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5.7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5.7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G5"/>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outlinePr summaryBelow="0" summaryRight="0"/>
    <pageSetUpPr/>
  </sheetPr>
  <sheetViews>
    <sheetView showGridLines="0" workbookViewId="0"/>
  </sheetViews>
  <sheetFormatPr customHeight="1" defaultColWidth="14.43" defaultRowHeight="15.0"/>
  <cols>
    <col customWidth="1" min="1" max="2" width="2.71"/>
    <col customWidth="1" min="3" max="3" width="16.86"/>
    <col customWidth="1" min="4" max="4" width="16.14"/>
    <col customWidth="1" min="5" max="5" width="12.14"/>
    <col customWidth="1" min="6" max="6" width="14.14"/>
    <col customWidth="1" min="7" max="7" width="15.57"/>
    <col customWidth="1" min="8" max="8" width="4.0"/>
    <col customWidth="1" min="9" max="9" width="9.57"/>
    <col customWidth="1" min="10" max="10" width="31.29"/>
    <col customWidth="1" min="11" max="11" width="17.0"/>
    <col customWidth="1" min="12" max="12" width="14.0"/>
    <col customWidth="1" min="13" max="13" width="14.71"/>
    <col customWidth="1" min="14" max="14" width="13.71"/>
    <col customWidth="1" min="15" max="16" width="11.29"/>
    <col customWidth="1" min="17" max="24" width="17.29"/>
  </cols>
  <sheetData>
    <row r="1" ht="15.75" customHeight="1">
      <c r="A1" s="27"/>
      <c r="B1" s="27"/>
      <c r="C1" s="27"/>
      <c r="D1" s="27"/>
      <c r="E1" s="27"/>
      <c r="F1" s="27"/>
      <c r="G1" s="27"/>
      <c r="H1" s="27"/>
      <c r="I1" s="27"/>
      <c r="J1" s="27"/>
      <c r="K1" s="27"/>
      <c r="L1" s="27"/>
      <c r="M1" s="27"/>
      <c r="N1" s="27"/>
      <c r="O1" s="27"/>
      <c r="P1" s="27"/>
      <c r="Q1" s="2"/>
      <c r="R1" s="2"/>
      <c r="S1" s="2"/>
      <c r="T1" s="2"/>
      <c r="U1" s="2"/>
      <c r="V1" s="2"/>
      <c r="W1" s="2"/>
      <c r="X1" s="2"/>
    </row>
    <row r="2">
      <c r="A2" s="84"/>
      <c r="B2" s="85"/>
      <c r="C2" s="86"/>
      <c r="D2" s="86"/>
      <c r="E2" s="86"/>
      <c r="F2" s="86"/>
      <c r="G2" s="86"/>
      <c r="H2" s="86"/>
      <c r="I2" s="87"/>
      <c r="J2" s="87"/>
      <c r="K2" s="87"/>
      <c r="L2" s="87"/>
      <c r="M2" s="87"/>
      <c r="N2" s="87"/>
      <c r="O2" s="87"/>
      <c r="P2" s="88"/>
      <c r="Q2" s="2"/>
      <c r="R2" s="2"/>
      <c r="S2" s="2"/>
      <c r="T2" s="2"/>
      <c r="U2" s="2"/>
      <c r="V2" s="2"/>
      <c r="W2" s="2"/>
      <c r="X2" s="2"/>
    </row>
    <row r="3" ht="15.75" customHeight="1">
      <c r="A3" s="84"/>
      <c r="B3" s="85"/>
      <c r="C3" s="89" t="s">
        <v>117</v>
      </c>
      <c r="D3" s="86"/>
      <c r="E3" s="86"/>
      <c r="F3" s="86"/>
      <c r="G3" s="86"/>
      <c r="H3" s="86"/>
      <c r="I3" s="90" t="s">
        <v>118</v>
      </c>
      <c r="J3" s="87"/>
      <c r="K3" s="87"/>
      <c r="L3" s="87"/>
      <c r="M3" s="87"/>
      <c r="N3" s="87"/>
      <c r="O3" s="87"/>
      <c r="P3" s="88"/>
      <c r="Q3" s="2"/>
      <c r="R3" s="2"/>
      <c r="S3" s="2"/>
      <c r="T3" s="2"/>
      <c r="U3" s="2"/>
      <c r="V3" s="2"/>
      <c r="W3" s="2"/>
      <c r="X3" s="2"/>
    </row>
    <row r="4" ht="12.75" customHeight="1">
      <c r="A4" s="91"/>
      <c r="B4" s="38"/>
      <c r="C4" s="92"/>
      <c r="D4" s="86"/>
      <c r="E4" s="86"/>
      <c r="F4" s="86"/>
      <c r="G4" s="86"/>
      <c r="H4" s="86"/>
      <c r="I4" s="86"/>
      <c r="J4" s="86"/>
      <c r="K4" s="86"/>
      <c r="L4" s="86"/>
      <c r="M4" s="86"/>
      <c r="N4" s="86"/>
      <c r="O4" s="86"/>
      <c r="P4" s="93"/>
      <c r="Q4" s="2"/>
      <c r="R4" s="2"/>
      <c r="S4" s="2"/>
      <c r="T4" s="2"/>
      <c r="U4" s="2"/>
      <c r="V4" s="2"/>
      <c r="W4" s="2"/>
      <c r="X4" s="2"/>
    </row>
    <row r="5" ht="25.5" customHeight="1">
      <c r="A5" s="91"/>
      <c r="B5" s="38"/>
      <c r="C5" s="94" t="s">
        <v>82</v>
      </c>
      <c r="D5" s="94">
        <f>M16</f>
        <v>0</v>
      </c>
      <c r="E5" s="86"/>
      <c r="F5" s="95" t="s">
        <v>119</v>
      </c>
      <c r="G5" s="45"/>
      <c r="H5" s="86"/>
      <c r="I5" s="46" t="s">
        <v>84</v>
      </c>
      <c r="J5" s="146" t="s">
        <v>120</v>
      </c>
      <c r="K5" s="46" t="s">
        <v>121</v>
      </c>
      <c r="L5" s="46" t="s">
        <v>122</v>
      </c>
      <c r="M5" s="46" t="s">
        <v>88</v>
      </c>
      <c r="N5" s="46" t="s">
        <v>89</v>
      </c>
      <c r="O5" s="86"/>
      <c r="P5" s="93"/>
      <c r="Q5" s="2"/>
      <c r="R5" s="2"/>
      <c r="S5" s="2"/>
      <c r="T5" s="2"/>
      <c r="U5" s="2"/>
      <c r="V5" s="2"/>
      <c r="W5" s="2"/>
      <c r="X5" s="2"/>
    </row>
    <row r="6" ht="12.75" customHeight="1">
      <c r="A6" s="91"/>
      <c r="B6" s="38"/>
      <c r="C6" s="94" t="s">
        <v>90</v>
      </c>
      <c r="D6" s="94">
        <f>N16</f>
        <v>0</v>
      </c>
      <c r="E6" s="86"/>
      <c r="F6" s="97" t="s">
        <v>115</v>
      </c>
      <c r="G6" s="97">
        <f>(COUNT(C10:C14)*(COUNT(C10:C14)+1))/2</f>
        <v>15</v>
      </c>
      <c r="H6" s="86"/>
      <c r="I6" s="98"/>
      <c r="J6" s="98"/>
      <c r="K6" s="147"/>
      <c r="L6" s="64">
        <f>0.2*K6</f>
        <v>0</v>
      </c>
      <c r="M6" s="69">
        <f t="shared" ref="M6:M15" si="1">K6*I6</f>
        <v>0</v>
      </c>
      <c r="N6" s="69">
        <f t="shared" ref="N6:N15" si="2">L6*I6</f>
        <v>0</v>
      </c>
      <c r="O6" s="148"/>
      <c r="P6" s="96"/>
      <c r="Q6" s="2"/>
      <c r="R6" s="2"/>
      <c r="S6" s="2"/>
      <c r="T6" s="2"/>
      <c r="U6" s="2"/>
      <c r="V6" s="2"/>
      <c r="W6" s="2"/>
      <c r="X6" s="2"/>
    </row>
    <row r="7" ht="12.75" customHeight="1">
      <c r="A7" s="91"/>
      <c r="B7" s="38"/>
      <c r="C7" s="94" t="s">
        <v>94</v>
      </c>
      <c r="D7" s="94">
        <f>+D5-D6</f>
        <v>0</v>
      </c>
      <c r="E7" s="86"/>
      <c r="F7" s="38"/>
      <c r="G7" s="38"/>
      <c r="H7" s="86"/>
      <c r="I7" s="149"/>
      <c r="J7" s="150"/>
      <c r="K7" s="64"/>
      <c r="L7" s="64"/>
      <c r="M7" s="69">
        <f t="shared" si="1"/>
        <v>0</v>
      </c>
      <c r="N7" s="69">
        <f t="shared" si="2"/>
        <v>0</v>
      </c>
      <c r="O7" s="86"/>
      <c r="P7" s="96" t="s">
        <v>97</v>
      </c>
      <c r="Q7" s="2"/>
      <c r="R7" s="2"/>
      <c r="S7" s="2"/>
      <c r="T7" s="2"/>
      <c r="U7" s="2"/>
      <c r="V7" s="2"/>
      <c r="W7" s="2"/>
      <c r="X7" s="2"/>
    </row>
    <row r="8" ht="12.75" customHeight="1">
      <c r="A8" s="91"/>
      <c r="B8" s="38"/>
      <c r="C8" s="86"/>
      <c r="D8" s="86"/>
      <c r="E8" s="38"/>
      <c r="F8" s="38"/>
      <c r="G8" s="38"/>
      <c r="H8" s="38"/>
      <c r="I8" s="149"/>
      <c r="J8" s="149"/>
      <c r="K8" s="64"/>
      <c r="L8" s="64"/>
      <c r="M8" s="69">
        <f t="shared" si="1"/>
        <v>0</v>
      </c>
      <c r="N8" s="69">
        <f t="shared" si="2"/>
        <v>0</v>
      </c>
      <c r="O8" s="86"/>
      <c r="P8" s="96" t="s">
        <v>100</v>
      </c>
      <c r="Q8" s="2"/>
      <c r="R8" s="2"/>
      <c r="S8" s="2"/>
      <c r="T8" s="2"/>
      <c r="U8" s="2"/>
      <c r="V8" s="2"/>
      <c r="W8" s="2"/>
      <c r="X8" s="2"/>
    </row>
    <row r="9" ht="25.5" customHeight="1">
      <c r="A9" s="91"/>
      <c r="B9" s="38"/>
      <c r="C9" s="46" t="s">
        <v>101</v>
      </c>
      <c r="D9" s="46" t="s">
        <v>102</v>
      </c>
      <c r="E9" s="104" t="s">
        <v>97</v>
      </c>
      <c r="F9" s="46" t="s">
        <v>103</v>
      </c>
      <c r="G9" s="46" t="s">
        <v>104</v>
      </c>
      <c r="H9" s="105"/>
      <c r="I9" s="98"/>
      <c r="J9" s="151"/>
      <c r="K9" s="100"/>
      <c r="L9" s="100"/>
      <c r="M9" s="69">
        <f t="shared" si="1"/>
        <v>0</v>
      </c>
      <c r="N9" s="69">
        <f t="shared" si="2"/>
        <v>0</v>
      </c>
      <c r="O9" s="86"/>
      <c r="P9" s="96" t="s">
        <v>107</v>
      </c>
      <c r="Q9" s="2"/>
      <c r="R9" s="2"/>
      <c r="S9" s="2"/>
      <c r="T9" s="2"/>
      <c r="U9" s="2"/>
      <c r="V9" s="2"/>
      <c r="W9" s="2"/>
      <c r="X9" s="2"/>
    </row>
    <row r="10" ht="13.5" customHeight="1">
      <c r="A10" s="27"/>
      <c r="B10" s="28"/>
      <c r="C10" s="106">
        <v>1.0</v>
      </c>
      <c r="D10" s="94">
        <f>$D$7</f>
        <v>0</v>
      </c>
      <c r="E10" s="107">
        <f>IF($E$9="Definir sistema",0,IF($E$9="Lineal",$C$10/5,IF($E$9="Decreciente",C14/$G$6,C10/$G$6)))</f>
        <v>0.06666666667</v>
      </c>
      <c r="F10" s="94">
        <f t="shared" ref="F10:F14" si="3">D10*E10</f>
        <v>0</v>
      </c>
      <c r="G10" s="152">
        <f>D5-F10</f>
        <v>0</v>
      </c>
      <c r="H10" s="28"/>
      <c r="I10" s="108"/>
      <c r="J10" s="99"/>
      <c r="K10" s="100"/>
      <c r="L10" s="100"/>
      <c r="M10" s="69">
        <f t="shared" si="1"/>
        <v>0</v>
      </c>
      <c r="N10" s="69">
        <f t="shared" si="2"/>
        <v>0</v>
      </c>
      <c r="O10" s="38"/>
      <c r="P10" s="109" t="s">
        <v>123</v>
      </c>
      <c r="Q10" s="2"/>
      <c r="R10" s="2"/>
      <c r="S10" s="2"/>
      <c r="T10" s="2"/>
      <c r="U10" s="2"/>
      <c r="V10" s="2"/>
      <c r="W10" s="2"/>
      <c r="X10" s="2"/>
    </row>
    <row r="11" ht="13.5" customHeight="1">
      <c r="A11" s="27"/>
      <c r="B11" s="28"/>
      <c r="C11" s="106">
        <f t="shared" ref="C11:C14" si="4">C10+1</f>
        <v>2</v>
      </c>
      <c r="D11" s="94">
        <f t="shared" ref="D11:D14" si="5">+D10</f>
        <v>0</v>
      </c>
      <c r="E11" s="107">
        <f>IF($E$9="Definir sistema",0,IF($E$9="Lineal",$C$10/5,IF($E$9="Decreciente",C13/$G$6,C11/$G$6)))</f>
        <v>0.1333333333</v>
      </c>
      <c r="F11" s="94">
        <f t="shared" si="3"/>
        <v>0</v>
      </c>
      <c r="G11" s="152">
        <f>D5-F10-F11</f>
        <v>0</v>
      </c>
      <c r="H11" s="28"/>
      <c r="I11" s="110"/>
      <c r="J11" s="110"/>
      <c r="K11" s="64"/>
      <c r="L11" s="64"/>
      <c r="M11" s="69">
        <f t="shared" si="1"/>
        <v>0</v>
      </c>
      <c r="N11" s="69">
        <f t="shared" si="2"/>
        <v>0</v>
      </c>
      <c r="O11" s="38"/>
      <c r="P11" s="109"/>
      <c r="Q11" s="2"/>
      <c r="R11" s="2"/>
      <c r="S11" s="2"/>
      <c r="T11" s="2"/>
      <c r="U11" s="2"/>
      <c r="V11" s="2"/>
      <c r="W11" s="2"/>
      <c r="X11" s="2"/>
    </row>
    <row r="12" ht="13.5" customHeight="1">
      <c r="A12" s="27"/>
      <c r="B12" s="28"/>
      <c r="C12" s="106">
        <f t="shared" si="4"/>
        <v>3</v>
      </c>
      <c r="D12" s="94">
        <f t="shared" si="5"/>
        <v>0</v>
      </c>
      <c r="E12" s="107">
        <f>IF($E$9="Definir sistema",0,IF($E$9="Lineal",$C$10/5,IF($E$9="Decreciente",C12/$G$6,C12/$G$6)))</f>
        <v>0.2</v>
      </c>
      <c r="F12" s="94">
        <f t="shared" si="3"/>
        <v>0</v>
      </c>
      <c r="G12" s="152">
        <f>D5-F10-F11-F12</f>
        <v>0</v>
      </c>
      <c r="H12" s="28"/>
      <c r="I12" s="110"/>
      <c r="J12" s="110"/>
      <c r="K12" s="64"/>
      <c r="L12" s="64"/>
      <c r="M12" s="69">
        <f t="shared" si="1"/>
        <v>0</v>
      </c>
      <c r="N12" s="69">
        <f t="shared" si="2"/>
        <v>0</v>
      </c>
      <c r="O12" s="38"/>
      <c r="P12" s="109"/>
      <c r="Q12" s="2"/>
      <c r="R12" s="2"/>
      <c r="S12" s="2"/>
      <c r="T12" s="2"/>
      <c r="U12" s="2"/>
      <c r="V12" s="2"/>
      <c r="W12" s="2"/>
      <c r="X12" s="2"/>
    </row>
    <row r="13" ht="13.5" customHeight="1">
      <c r="A13" s="27"/>
      <c r="B13" s="28"/>
      <c r="C13" s="106">
        <f t="shared" si="4"/>
        <v>4</v>
      </c>
      <c r="D13" s="94">
        <f t="shared" si="5"/>
        <v>0</v>
      </c>
      <c r="E13" s="107">
        <f>IF($E$9="Definir sistema",0,IF($E$9="Lineal",$C$10/5,IF($E$9="Decreciente",C11/$G$6,C13/$G$6)))</f>
        <v>0.2666666667</v>
      </c>
      <c r="F13" s="94">
        <f t="shared" si="3"/>
        <v>0</v>
      </c>
      <c r="G13" s="152">
        <f>D5-F10-F11-F12-F13</f>
        <v>0</v>
      </c>
      <c r="H13" s="28"/>
      <c r="I13" s="110"/>
      <c r="J13" s="110"/>
      <c r="K13" s="64"/>
      <c r="L13" s="64"/>
      <c r="M13" s="69">
        <f t="shared" si="1"/>
        <v>0</v>
      </c>
      <c r="N13" s="69">
        <f t="shared" si="2"/>
        <v>0</v>
      </c>
      <c r="O13" s="38"/>
      <c r="P13" s="109"/>
      <c r="Q13" s="2"/>
      <c r="R13" s="2"/>
      <c r="S13" s="2"/>
      <c r="T13" s="2"/>
      <c r="U13" s="2"/>
      <c r="V13" s="2"/>
      <c r="W13" s="2"/>
      <c r="X13" s="2"/>
    </row>
    <row r="14" ht="13.5" customHeight="1">
      <c r="A14" s="27"/>
      <c r="B14" s="28"/>
      <c r="C14" s="106">
        <f t="shared" si="4"/>
        <v>5</v>
      </c>
      <c r="D14" s="94">
        <f t="shared" si="5"/>
        <v>0</v>
      </c>
      <c r="E14" s="107">
        <f>IF($E$9="Definir sistema",0,IF($E$9="Lineal",$C$10/5,IF($E$9="Decreciente",C10/$G$6,C14/$G$6)))</f>
        <v>0.3333333333</v>
      </c>
      <c r="F14" s="94">
        <f t="shared" si="3"/>
        <v>0</v>
      </c>
      <c r="G14" s="152">
        <f>D5-F10-F11-F12-F13-F14</f>
        <v>0</v>
      </c>
      <c r="H14" s="28"/>
      <c r="I14" s="110"/>
      <c r="J14" s="110"/>
      <c r="K14" s="64"/>
      <c r="L14" s="64"/>
      <c r="M14" s="69">
        <f t="shared" si="1"/>
        <v>0</v>
      </c>
      <c r="N14" s="69">
        <f t="shared" si="2"/>
        <v>0</v>
      </c>
      <c r="O14" s="38"/>
      <c r="P14" s="109"/>
      <c r="Q14" s="2"/>
      <c r="R14" s="2"/>
      <c r="S14" s="2"/>
      <c r="T14" s="2"/>
      <c r="U14" s="2"/>
      <c r="V14" s="2"/>
      <c r="W14" s="2"/>
      <c r="X14" s="2"/>
    </row>
    <row r="15" ht="13.5" customHeight="1">
      <c r="A15" s="27"/>
      <c r="B15" s="28"/>
      <c r="C15" s="38"/>
      <c r="D15" s="111" t="s">
        <v>102</v>
      </c>
      <c r="E15" s="112">
        <f t="shared" ref="E15:F15" si="6">SUM(E10:E14)</f>
        <v>1</v>
      </c>
      <c r="F15" s="113">
        <f t="shared" si="6"/>
        <v>0</v>
      </c>
      <c r="G15" s="114">
        <f>+G14-D6</f>
        <v>0</v>
      </c>
      <c r="H15" s="28"/>
      <c r="I15" s="110"/>
      <c r="J15" s="110"/>
      <c r="K15" s="64"/>
      <c r="L15" s="64"/>
      <c r="M15" s="69">
        <f t="shared" si="1"/>
        <v>0</v>
      </c>
      <c r="N15" s="69">
        <f t="shared" si="2"/>
        <v>0</v>
      </c>
      <c r="O15" s="38"/>
      <c r="P15" s="91"/>
      <c r="Q15" s="2"/>
      <c r="R15" s="2"/>
      <c r="S15" s="2"/>
      <c r="T15" s="2"/>
      <c r="U15" s="2"/>
      <c r="V15" s="2"/>
      <c r="W15" s="2"/>
      <c r="X15" s="2"/>
    </row>
    <row r="16" ht="14.25" customHeight="1">
      <c r="A16" s="27"/>
      <c r="B16" s="28"/>
      <c r="C16" s="38"/>
      <c r="D16" s="38"/>
      <c r="E16" s="38"/>
      <c r="F16" s="38"/>
      <c r="G16" s="38"/>
      <c r="H16" s="38"/>
      <c r="I16" s="38"/>
      <c r="J16" s="86"/>
      <c r="K16" s="86"/>
      <c r="L16" s="86"/>
      <c r="M16" s="115">
        <f t="shared" ref="M16:N16" si="7">SUM(M6:M15)</f>
        <v>0</v>
      </c>
      <c r="N16" s="115">
        <f t="shared" si="7"/>
        <v>0</v>
      </c>
      <c r="O16" s="38"/>
      <c r="P16" s="91"/>
      <c r="Q16" s="2"/>
      <c r="R16" s="2"/>
      <c r="S16" s="2"/>
      <c r="T16" s="2"/>
      <c r="U16" s="2"/>
      <c r="V16" s="2"/>
      <c r="W16" s="2"/>
      <c r="X16" s="2"/>
    </row>
    <row r="17" ht="14.25" customHeight="1">
      <c r="A17" s="27"/>
      <c r="B17" s="28"/>
      <c r="C17" s="38"/>
      <c r="D17" s="38"/>
      <c r="E17" s="38"/>
      <c r="F17" s="38"/>
      <c r="G17" s="38"/>
      <c r="H17" s="38"/>
      <c r="I17" s="86"/>
      <c r="J17" s="86"/>
      <c r="K17" s="86"/>
      <c r="L17" s="38"/>
      <c r="M17" s="38"/>
      <c r="N17" s="38"/>
      <c r="O17" s="38"/>
      <c r="P17" s="91"/>
      <c r="Q17" s="2"/>
      <c r="R17" s="2"/>
      <c r="S17" s="2"/>
      <c r="T17" s="2"/>
      <c r="U17" s="2"/>
      <c r="V17" s="2"/>
      <c r="W17" s="2"/>
      <c r="X17" s="2"/>
    </row>
    <row r="18" ht="14.25" customHeight="1">
      <c r="A18" s="27"/>
      <c r="B18" s="28"/>
      <c r="C18" s="38"/>
      <c r="D18" s="38"/>
      <c r="E18" s="38"/>
      <c r="F18" s="38"/>
      <c r="G18" s="38"/>
      <c r="H18" s="38"/>
      <c r="I18" s="86"/>
      <c r="J18" s="86"/>
      <c r="K18" s="86"/>
      <c r="L18" s="38"/>
      <c r="M18" s="38"/>
      <c r="N18" s="38"/>
      <c r="O18" s="38"/>
      <c r="P18" s="91"/>
      <c r="Q18" s="2"/>
      <c r="R18" s="2"/>
      <c r="S18" s="2"/>
      <c r="T18" s="2"/>
      <c r="U18" s="2"/>
      <c r="V18" s="2"/>
      <c r="W18" s="2"/>
      <c r="X18" s="2"/>
    </row>
    <row r="19" ht="14.25" customHeight="1">
      <c r="A19" s="27"/>
      <c r="B19" s="28"/>
      <c r="C19" s="38"/>
      <c r="D19" s="38"/>
      <c r="E19" s="38"/>
      <c r="F19" s="38"/>
      <c r="G19" s="38"/>
      <c r="H19" s="38"/>
      <c r="I19" s="38"/>
      <c r="J19" s="38"/>
      <c r="K19" s="38"/>
      <c r="L19" s="38"/>
      <c r="M19" s="38"/>
      <c r="N19" s="38"/>
      <c r="O19" s="38"/>
      <c r="P19" s="91"/>
      <c r="Q19" s="2"/>
      <c r="R19" s="2"/>
      <c r="S19" s="2"/>
      <c r="T19" s="2"/>
      <c r="U19" s="2"/>
      <c r="V19" s="2"/>
      <c r="W19" s="2"/>
      <c r="X19" s="2"/>
    </row>
    <row r="20" ht="14.25" customHeight="1">
      <c r="A20" s="27"/>
      <c r="B20" s="27"/>
      <c r="C20" s="91"/>
      <c r="D20" s="91"/>
      <c r="E20" s="91"/>
      <c r="F20" s="91"/>
      <c r="G20" s="91"/>
      <c r="H20" s="27"/>
      <c r="I20" s="27"/>
      <c r="J20" s="27"/>
      <c r="K20" s="27"/>
      <c r="L20" s="27"/>
      <c r="M20" s="91"/>
      <c r="N20" s="91"/>
      <c r="O20" s="91"/>
      <c r="P20" s="91"/>
      <c r="Q20" s="2"/>
      <c r="R20" s="2"/>
      <c r="S20" s="2"/>
      <c r="T20" s="2"/>
      <c r="U20" s="2"/>
      <c r="V20" s="2"/>
      <c r="W20" s="2"/>
      <c r="X20" s="2"/>
    </row>
    <row r="21" ht="14.25" customHeight="1">
      <c r="A21" s="27"/>
      <c r="B21" s="116"/>
      <c r="C21" s="27"/>
      <c r="D21" s="91"/>
      <c r="E21" s="91"/>
      <c r="F21" s="91"/>
      <c r="G21" s="91"/>
      <c r="H21" s="27"/>
      <c r="I21" s="27"/>
      <c r="J21" s="27"/>
      <c r="K21" s="27"/>
      <c r="L21" s="27"/>
      <c r="M21" s="91"/>
      <c r="N21" s="91"/>
      <c r="O21" s="91"/>
      <c r="P21" s="91"/>
      <c r="Q21" s="2"/>
      <c r="R21" s="2"/>
      <c r="S21" s="2"/>
      <c r="T21" s="2"/>
      <c r="U21" s="2"/>
      <c r="V21" s="2"/>
      <c r="W21" s="2"/>
      <c r="X21" s="2"/>
    </row>
    <row r="22" ht="14.25" customHeight="1">
      <c r="A22" s="27"/>
      <c r="B22" s="27"/>
      <c r="C22" s="91"/>
      <c r="D22" s="91"/>
      <c r="E22" s="91"/>
      <c r="F22" s="91"/>
      <c r="G22" s="91"/>
      <c r="H22" s="27"/>
      <c r="I22" s="27"/>
      <c r="J22" s="27"/>
      <c r="K22" s="27"/>
      <c r="L22" s="27"/>
      <c r="M22" s="91"/>
      <c r="N22" s="91"/>
      <c r="O22" s="91"/>
      <c r="P22" s="91"/>
      <c r="Q22" s="2"/>
      <c r="R22" s="2"/>
      <c r="S22" s="2"/>
      <c r="T22" s="2"/>
      <c r="U22" s="2"/>
      <c r="V22" s="2"/>
      <c r="W22" s="2"/>
      <c r="X22" s="2"/>
    </row>
    <row r="23" ht="14.25" customHeight="1">
      <c r="A23" s="27"/>
      <c r="B23" s="27"/>
      <c r="C23" s="91"/>
      <c r="D23" s="91"/>
      <c r="E23" s="91"/>
      <c r="F23" s="91"/>
      <c r="G23" s="91"/>
      <c r="H23" s="27"/>
      <c r="I23" s="27"/>
      <c r="J23" s="27"/>
      <c r="K23" s="27"/>
      <c r="L23" s="27"/>
      <c r="M23" s="91"/>
      <c r="N23" s="91"/>
      <c r="O23" s="91"/>
      <c r="P23" s="91"/>
      <c r="Q23" s="2"/>
      <c r="R23" s="2"/>
      <c r="S23" s="2"/>
      <c r="T23" s="2"/>
      <c r="U23" s="2"/>
      <c r="V23" s="2"/>
      <c r="W23" s="2"/>
      <c r="X23" s="2"/>
    </row>
    <row r="24" ht="15.75" customHeight="1">
      <c r="A24" s="27"/>
      <c r="B24" s="27"/>
      <c r="C24" s="27"/>
      <c r="D24" s="27"/>
      <c r="E24" s="27"/>
      <c r="F24" s="27"/>
      <c r="G24" s="27"/>
      <c r="H24" s="27"/>
      <c r="I24" s="27"/>
      <c r="J24" s="27"/>
      <c r="K24" s="27"/>
      <c r="L24" s="27"/>
      <c r="M24" s="27"/>
      <c r="N24" s="27"/>
      <c r="O24" s="27"/>
      <c r="P24" s="27"/>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G5"/>
  </mergeCells>
  <dataValidations>
    <dataValidation type="list" allowBlank="1" showInputMessage="1" showErrorMessage="1" prompt=" - " sqref="E9">
      <formula1>$P$7:$P$10</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outlinePr summaryBelow="0" summaryRight="0"/>
    <pageSetUpPr/>
  </sheetPr>
  <sheetViews>
    <sheetView showGridLines="0" workbookViewId="0"/>
  </sheetViews>
  <sheetFormatPr customHeight="1" defaultColWidth="14.43" defaultRowHeight="15.0"/>
  <cols>
    <col customWidth="1" min="1" max="1" width="5.43"/>
    <col customWidth="1" min="2" max="2" width="2.71"/>
    <col customWidth="1" min="3" max="4" width="15.71"/>
    <col customWidth="1" min="5" max="5" width="13.14"/>
    <col customWidth="1" min="6" max="6" width="14.29"/>
    <col customWidth="1" min="7" max="7" width="12.57"/>
    <col customWidth="1" min="8" max="8" width="3.86"/>
    <col customWidth="1" min="9" max="9" width="10.14"/>
    <col customWidth="1" min="10" max="10" width="40.86"/>
    <col customWidth="1" min="11" max="11" width="13.0"/>
    <col customWidth="1" min="12" max="12" width="11.29"/>
    <col customWidth="1" min="13" max="13" width="13.14"/>
    <col customWidth="1" min="14" max="16" width="11.29"/>
  </cols>
  <sheetData>
    <row r="1" ht="15.75" customHeight="1">
      <c r="A1" s="27"/>
      <c r="B1" s="27"/>
      <c r="C1" s="27"/>
      <c r="D1" s="27"/>
      <c r="E1" s="27"/>
      <c r="F1" s="27"/>
      <c r="G1" s="27"/>
      <c r="H1" s="27"/>
      <c r="I1" s="27"/>
      <c r="J1" s="27"/>
      <c r="K1" s="27"/>
      <c r="L1" s="27"/>
      <c r="M1" s="27"/>
      <c r="N1" s="27"/>
      <c r="O1" s="27"/>
      <c r="P1" s="27"/>
      <c r="Q1" s="2"/>
      <c r="R1" s="2"/>
      <c r="S1" s="2"/>
      <c r="T1" s="2"/>
      <c r="U1" s="2"/>
      <c r="V1" s="2"/>
      <c r="W1" s="2"/>
      <c r="X1" s="2"/>
      <c r="Y1" s="2"/>
      <c r="Z1" s="2"/>
    </row>
    <row r="2">
      <c r="A2" s="84"/>
      <c r="B2" s="85"/>
      <c r="C2" s="86"/>
      <c r="D2" s="86"/>
      <c r="E2" s="86"/>
      <c r="F2" s="86"/>
      <c r="G2" s="86"/>
      <c r="H2" s="86"/>
      <c r="I2" s="87"/>
      <c r="J2" s="87"/>
      <c r="K2" s="87"/>
      <c r="L2" s="87"/>
      <c r="M2" s="87"/>
      <c r="N2" s="87"/>
      <c r="O2" s="87"/>
      <c r="P2" s="88"/>
      <c r="Q2" s="2"/>
      <c r="R2" s="2"/>
      <c r="S2" s="2"/>
      <c r="T2" s="2"/>
      <c r="U2" s="2"/>
      <c r="V2" s="2"/>
      <c r="W2" s="2"/>
      <c r="X2" s="2"/>
      <c r="Y2" s="2"/>
      <c r="Z2" s="2"/>
    </row>
    <row r="3" ht="18.75" customHeight="1">
      <c r="A3" s="84"/>
      <c r="B3" s="85"/>
      <c r="C3" s="153" t="s">
        <v>124</v>
      </c>
      <c r="D3" s="86"/>
      <c r="E3" s="86"/>
      <c r="F3" s="86"/>
      <c r="G3" s="86"/>
      <c r="H3" s="86"/>
      <c r="I3" s="90" t="s">
        <v>125</v>
      </c>
      <c r="J3" s="87"/>
      <c r="K3" s="87"/>
      <c r="L3" s="87"/>
      <c r="M3" s="87"/>
      <c r="N3" s="87"/>
      <c r="O3" s="87"/>
      <c r="P3" s="88"/>
      <c r="Q3" s="2"/>
      <c r="R3" s="2"/>
      <c r="S3" s="2"/>
      <c r="T3" s="2"/>
      <c r="U3" s="2"/>
      <c r="V3" s="2"/>
      <c r="W3" s="2"/>
      <c r="X3" s="2"/>
      <c r="Y3" s="2"/>
      <c r="Z3" s="2"/>
    </row>
    <row r="4" ht="12.75" customHeight="1">
      <c r="A4" s="91"/>
      <c r="B4" s="38"/>
      <c r="C4" s="92"/>
      <c r="D4" s="86"/>
      <c r="E4" s="86"/>
      <c r="F4" s="86"/>
      <c r="G4" s="86"/>
      <c r="H4" s="86"/>
      <c r="I4" s="86"/>
      <c r="J4" s="86"/>
      <c r="K4" s="86"/>
      <c r="L4" s="86"/>
      <c r="M4" s="86"/>
      <c r="N4" s="86"/>
      <c r="O4" s="86"/>
      <c r="P4" s="93"/>
      <c r="Q4" s="2"/>
      <c r="R4" s="2"/>
      <c r="S4" s="2"/>
      <c r="T4" s="2"/>
      <c r="U4" s="2"/>
      <c r="V4" s="2"/>
      <c r="W4" s="2"/>
      <c r="X4" s="2"/>
      <c r="Y4" s="2"/>
      <c r="Z4" s="2"/>
    </row>
    <row r="5" ht="24.0" customHeight="1">
      <c r="A5" s="91"/>
      <c r="B5" s="38"/>
      <c r="C5" s="94" t="s">
        <v>82</v>
      </c>
      <c r="D5" s="94">
        <f>M16</f>
        <v>10130000</v>
      </c>
      <c r="E5" s="86"/>
      <c r="F5" s="95" t="s">
        <v>126</v>
      </c>
      <c r="G5" s="45"/>
      <c r="H5" s="86"/>
      <c r="I5" s="46" t="s">
        <v>84</v>
      </c>
      <c r="J5" s="46" t="s">
        <v>85</v>
      </c>
      <c r="K5" s="46" t="s">
        <v>127</v>
      </c>
      <c r="L5" s="46" t="s">
        <v>128</v>
      </c>
      <c r="M5" s="46" t="s">
        <v>88</v>
      </c>
      <c r="N5" s="46" t="s">
        <v>89</v>
      </c>
      <c r="O5" s="86"/>
      <c r="P5" s="93"/>
      <c r="Q5" s="2"/>
      <c r="R5" s="2"/>
      <c r="S5" s="2"/>
      <c r="T5" s="2"/>
      <c r="U5" s="2"/>
      <c r="V5" s="2"/>
      <c r="W5" s="2"/>
      <c r="X5" s="2"/>
      <c r="Y5" s="2"/>
      <c r="Z5" s="2"/>
    </row>
    <row r="6" ht="12.75" customHeight="1">
      <c r="A6" s="91"/>
      <c r="B6" s="38"/>
      <c r="C6" s="94" t="s">
        <v>90</v>
      </c>
      <c r="D6" s="94">
        <f>N16</f>
        <v>0.00101</v>
      </c>
      <c r="E6" s="86"/>
      <c r="F6" s="97" t="s">
        <v>115</v>
      </c>
      <c r="G6" s="154">
        <f>(COUNT(C10:C12)*(COUNT(C10:C12)+1))/2</f>
        <v>6</v>
      </c>
      <c r="H6" s="86"/>
      <c r="I6" s="155">
        <v>100.0</v>
      </c>
      <c r="J6" s="155" t="s">
        <v>129</v>
      </c>
      <c r="K6" s="100">
        <f>20*1500*1.21</f>
        <v>36300</v>
      </c>
      <c r="L6" s="100">
        <v>1.0E-5</v>
      </c>
      <c r="M6" s="69">
        <f t="shared" ref="M6:M15" si="1">K6*I6</f>
        <v>3630000</v>
      </c>
      <c r="N6" s="69">
        <f t="shared" ref="N6:N15" si="2">L6*I6</f>
        <v>0.001</v>
      </c>
      <c r="O6" s="86"/>
      <c r="P6" s="96"/>
      <c r="Q6" s="2"/>
      <c r="R6" s="2"/>
      <c r="S6" s="2"/>
      <c r="T6" s="2"/>
      <c r="U6" s="2"/>
      <c r="V6" s="2"/>
      <c r="W6" s="2"/>
      <c r="X6" s="2"/>
      <c r="Y6" s="2"/>
      <c r="Z6" s="2"/>
    </row>
    <row r="7" ht="12.75" customHeight="1">
      <c r="A7" s="91"/>
      <c r="B7" s="38"/>
      <c r="C7" s="94" t="s">
        <v>94</v>
      </c>
      <c r="D7" s="94">
        <f>+D5-D6</f>
        <v>10130000</v>
      </c>
      <c r="E7" s="86"/>
      <c r="F7" s="38"/>
      <c r="G7" s="38"/>
      <c r="H7" s="86"/>
      <c r="I7" s="155">
        <v>1.0</v>
      </c>
      <c r="J7" s="155" t="s">
        <v>130</v>
      </c>
      <c r="K7" s="100">
        <v>6500000.0</v>
      </c>
      <c r="L7" s="100">
        <v>1.0E-5</v>
      </c>
      <c r="M7" s="69">
        <f t="shared" si="1"/>
        <v>6500000</v>
      </c>
      <c r="N7" s="69">
        <f t="shared" si="2"/>
        <v>0.00001</v>
      </c>
      <c r="O7" s="86"/>
      <c r="P7" s="96" t="s">
        <v>97</v>
      </c>
      <c r="Q7" s="2"/>
      <c r="R7" s="2"/>
      <c r="S7" s="2"/>
      <c r="T7" s="2"/>
      <c r="U7" s="2"/>
      <c r="V7" s="2"/>
      <c r="W7" s="2"/>
      <c r="X7" s="2"/>
      <c r="Y7" s="2"/>
      <c r="Z7" s="2"/>
    </row>
    <row r="8" ht="12.75" customHeight="1">
      <c r="A8" s="91"/>
      <c r="B8" s="38"/>
      <c r="C8" s="86"/>
      <c r="D8" s="86"/>
      <c r="E8" s="38"/>
      <c r="F8" s="38"/>
      <c r="G8" s="38"/>
      <c r="H8" s="38"/>
      <c r="I8" s="155">
        <v>0.0</v>
      </c>
      <c r="J8" s="155" t="s">
        <v>131</v>
      </c>
      <c r="K8" s="64"/>
      <c r="L8" s="100">
        <v>1.0E-5</v>
      </c>
      <c r="M8" s="69">
        <f t="shared" si="1"/>
        <v>0</v>
      </c>
      <c r="N8" s="69">
        <f t="shared" si="2"/>
        <v>0</v>
      </c>
      <c r="O8" s="86"/>
      <c r="P8" s="96" t="s">
        <v>100</v>
      </c>
      <c r="Q8" s="2"/>
      <c r="R8" s="2"/>
      <c r="S8" s="2"/>
      <c r="T8" s="2"/>
      <c r="U8" s="2"/>
      <c r="V8" s="2"/>
      <c r="W8" s="2"/>
      <c r="X8" s="2"/>
      <c r="Y8" s="2"/>
      <c r="Z8" s="2"/>
    </row>
    <row r="9" ht="25.5" customHeight="1">
      <c r="A9" s="91"/>
      <c r="B9" s="38"/>
      <c r="C9" s="46" t="s">
        <v>101</v>
      </c>
      <c r="D9" s="46" t="s">
        <v>102</v>
      </c>
      <c r="E9" s="156" t="s">
        <v>100</v>
      </c>
      <c r="F9" s="46" t="s">
        <v>103</v>
      </c>
      <c r="G9" s="46" t="s">
        <v>104</v>
      </c>
      <c r="H9" s="105"/>
      <c r="I9" s="155"/>
      <c r="J9" s="155"/>
      <c r="K9" s="64"/>
      <c r="L9" s="100"/>
      <c r="M9" s="69">
        <f t="shared" si="1"/>
        <v>0</v>
      </c>
      <c r="N9" s="69">
        <f t="shared" si="2"/>
        <v>0</v>
      </c>
      <c r="O9" s="86"/>
      <c r="P9" s="96" t="s">
        <v>107</v>
      </c>
      <c r="Q9" s="2"/>
      <c r="R9" s="2"/>
      <c r="S9" s="2"/>
      <c r="T9" s="2"/>
      <c r="U9" s="2"/>
      <c r="V9" s="2"/>
      <c r="W9" s="2"/>
      <c r="X9" s="2"/>
      <c r="Y9" s="2"/>
      <c r="Z9" s="2"/>
    </row>
    <row r="10" ht="13.5" customHeight="1">
      <c r="A10" s="27"/>
      <c r="B10" s="28"/>
      <c r="C10" s="106">
        <v>1.0</v>
      </c>
      <c r="D10" s="94">
        <f t="shared" ref="D10:D12" si="3">$D$7</f>
        <v>10130000</v>
      </c>
      <c r="E10" s="107">
        <f>IF($E$9="Definir sistema",0,IF($E$9="Lineal",$C$10/3,IF($E$9="Decreciente",C12/$G$6,C10/$G$6)))</f>
        <v>0.5</v>
      </c>
      <c r="F10" s="94">
        <f t="shared" ref="F10:F12" si="4">D10*E10</f>
        <v>5064999.999</v>
      </c>
      <c r="G10" s="152">
        <f>+D5-F10</f>
        <v>5065000.001</v>
      </c>
      <c r="H10" s="28"/>
      <c r="I10" s="40"/>
      <c r="J10" s="40"/>
      <c r="K10" s="64"/>
      <c r="L10" s="64"/>
      <c r="M10" s="69">
        <f t="shared" si="1"/>
        <v>0</v>
      </c>
      <c r="N10" s="69">
        <f t="shared" si="2"/>
        <v>0</v>
      </c>
      <c r="O10" s="38"/>
      <c r="P10" s="109" t="s">
        <v>123</v>
      </c>
      <c r="Q10" s="2"/>
      <c r="R10" s="2"/>
      <c r="S10" s="2"/>
      <c r="T10" s="2"/>
      <c r="U10" s="2"/>
      <c r="V10" s="2"/>
      <c r="W10" s="2"/>
      <c r="X10" s="2"/>
      <c r="Y10" s="2"/>
      <c r="Z10" s="2"/>
    </row>
    <row r="11" ht="13.5" customHeight="1">
      <c r="A11" s="27"/>
      <c r="B11" s="28"/>
      <c r="C11" s="106">
        <v>2.0</v>
      </c>
      <c r="D11" s="94">
        <f t="shared" si="3"/>
        <v>10130000</v>
      </c>
      <c r="E11" s="107">
        <f>IF($E$9="Definir sistema",0,IF($E$9="Lineal",$C$10/3,IF($E$9="Decreciente",C11/$G$6,C11/$G$6)))</f>
        <v>0.3333333333</v>
      </c>
      <c r="F11" s="94">
        <f t="shared" si="4"/>
        <v>3376666.666</v>
      </c>
      <c r="G11" s="152">
        <f t="shared" ref="G11:G12" si="5">+G10-F11</f>
        <v>1688333.334</v>
      </c>
      <c r="H11" s="28"/>
      <c r="I11" s="40"/>
      <c r="J11" s="40"/>
      <c r="K11" s="64"/>
      <c r="L11" s="64"/>
      <c r="M11" s="69">
        <f t="shared" si="1"/>
        <v>0</v>
      </c>
      <c r="N11" s="69">
        <f t="shared" si="2"/>
        <v>0</v>
      </c>
      <c r="O11" s="38"/>
      <c r="P11" s="109"/>
      <c r="Q11" s="2"/>
      <c r="R11" s="2"/>
      <c r="S11" s="2"/>
      <c r="T11" s="2"/>
      <c r="U11" s="2"/>
      <c r="V11" s="2"/>
      <c r="W11" s="2"/>
      <c r="X11" s="2"/>
      <c r="Y11" s="2"/>
      <c r="Z11" s="2"/>
    </row>
    <row r="12" ht="13.5" customHeight="1">
      <c r="A12" s="27"/>
      <c r="B12" s="28"/>
      <c r="C12" s="106">
        <v>3.0</v>
      </c>
      <c r="D12" s="94">
        <f t="shared" si="3"/>
        <v>10130000</v>
      </c>
      <c r="E12" s="107">
        <f>IF($E$9="Definir sistema",0,IF($E$9="Lineal",$C$10/3,IF($E$9="Decreciente",C10/$G$6,C12/$G$6)))</f>
        <v>0.1666666667</v>
      </c>
      <c r="F12" s="94">
        <f t="shared" si="4"/>
        <v>1688333.333</v>
      </c>
      <c r="G12" s="152">
        <f t="shared" si="5"/>
        <v>0.001010001171</v>
      </c>
      <c r="H12" s="28"/>
      <c r="I12" s="40"/>
      <c r="J12" s="40"/>
      <c r="K12" s="64"/>
      <c r="L12" s="64"/>
      <c r="M12" s="69">
        <f t="shared" si="1"/>
        <v>0</v>
      </c>
      <c r="N12" s="69">
        <f t="shared" si="2"/>
        <v>0</v>
      </c>
      <c r="O12" s="38"/>
      <c r="P12" s="109"/>
      <c r="Q12" s="2"/>
      <c r="R12" s="2"/>
      <c r="S12" s="2"/>
      <c r="T12" s="2"/>
      <c r="U12" s="2"/>
      <c r="V12" s="2"/>
      <c r="W12" s="2"/>
      <c r="X12" s="2"/>
      <c r="Y12" s="2"/>
      <c r="Z12" s="2"/>
    </row>
    <row r="13" ht="13.5" customHeight="1">
      <c r="A13" s="27"/>
      <c r="B13" s="28"/>
      <c r="C13" s="38"/>
      <c r="D13" s="111" t="s">
        <v>102</v>
      </c>
      <c r="E13" s="112">
        <f t="shared" ref="E13:F13" si="6">SUM(E10:E12)</f>
        <v>1</v>
      </c>
      <c r="F13" s="113">
        <f t="shared" si="6"/>
        <v>10130000</v>
      </c>
      <c r="G13" s="114">
        <f>+G12-D6</f>
        <v>0.000000001171380281</v>
      </c>
      <c r="H13" s="28"/>
      <c r="I13" s="40"/>
      <c r="J13" s="40"/>
      <c r="K13" s="64"/>
      <c r="L13" s="64"/>
      <c r="M13" s="69">
        <f t="shared" si="1"/>
        <v>0</v>
      </c>
      <c r="N13" s="69">
        <f t="shared" si="2"/>
        <v>0</v>
      </c>
      <c r="O13" s="38"/>
      <c r="P13" s="109"/>
      <c r="Q13" s="2"/>
      <c r="R13" s="2"/>
      <c r="S13" s="2"/>
      <c r="T13" s="2"/>
      <c r="U13" s="2"/>
      <c r="V13" s="2"/>
      <c r="W13" s="2"/>
      <c r="X13" s="2"/>
      <c r="Y13" s="2"/>
      <c r="Z13" s="2"/>
    </row>
    <row r="14" ht="14.25" customHeight="1">
      <c r="A14" s="27"/>
      <c r="B14" s="28"/>
      <c r="C14" s="38"/>
      <c r="D14" s="38"/>
      <c r="E14" s="38"/>
      <c r="F14" s="38"/>
      <c r="G14" s="38"/>
      <c r="H14" s="38"/>
      <c r="I14" s="40"/>
      <c r="J14" s="40"/>
      <c r="K14" s="64"/>
      <c r="L14" s="64"/>
      <c r="M14" s="69">
        <f t="shared" si="1"/>
        <v>0</v>
      </c>
      <c r="N14" s="69">
        <f t="shared" si="2"/>
        <v>0</v>
      </c>
      <c r="O14" s="38"/>
      <c r="P14" s="109"/>
      <c r="Q14" s="2"/>
      <c r="R14" s="2"/>
      <c r="S14" s="2"/>
      <c r="T14" s="2"/>
      <c r="U14" s="2"/>
      <c r="V14" s="2"/>
      <c r="W14" s="2"/>
      <c r="X14" s="2"/>
      <c r="Y14" s="2"/>
      <c r="Z14" s="2"/>
    </row>
    <row r="15" ht="14.25" customHeight="1">
      <c r="A15" s="27"/>
      <c r="B15" s="28"/>
      <c r="C15" s="38"/>
      <c r="D15" s="38"/>
      <c r="E15" s="86"/>
      <c r="F15" s="38"/>
      <c r="G15" s="38"/>
      <c r="H15" s="38"/>
      <c r="I15" s="40"/>
      <c r="J15" s="40"/>
      <c r="K15" s="64"/>
      <c r="L15" s="64"/>
      <c r="M15" s="69">
        <f t="shared" si="1"/>
        <v>0</v>
      </c>
      <c r="N15" s="69">
        <f t="shared" si="2"/>
        <v>0</v>
      </c>
      <c r="O15" s="38"/>
      <c r="P15" s="91"/>
      <c r="Q15" s="2"/>
      <c r="R15" s="2"/>
      <c r="S15" s="2"/>
      <c r="T15" s="2"/>
      <c r="U15" s="2"/>
      <c r="V15" s="2"/>
      <c r="W15" s="2"/>
      <c r="X15" s="2"/>
      <c r="Y15" s="2"/>
      <c r="Z15" s="2"/>
    </row>
    <row r="16" ht="14.25" customHeight="1">
      <c r="A16" s="27"/>
      <c r="B16" s="28"/>
      <c r="C16" s="38"/>
      <c r="D16" s="38"/>
      <c r="E16" s="38"/>
      <c r="F16" s="38"/>
      <c r="G16" s="38"/>
      <c r="H16" s="38"/>
      <c r="I16" s="38"/>
      <c r="J16" s="86"/>
      <c r="K16" s="86"/>
      <c r="L16" s="86"/>
      <c r="M16" s="115">
        <f t="shared" ref="M16:N16" si="7">SUM(M6:M15)</f>
        <v>10130000</v>
      </c>
      <c r="N16" s="115">
        <f t="shared" si="7"/>
        <v>0.00101</v>
      </c>
      <c r="O16" s="38"/>
      <c r="P16" s="91"/>
      <c r="Q16" s="2"/>
      <c r="R16" s="2"/>
      <c r="S16" s="2"/>
      <c r="T16" s="2"/>
      <c r="U16" s="2"/>
      <c r="V16" s="2"/>
      <c r="W16" s="2"/>
      <c r="X16" s="2"/>
      <c r="Y16" s="2"/>
      <c r="Z16" s="2"/>
    </row>
    <row r="17" ht="14.25" customHeight="1">
      <c r="A17" s="27"/>
      <c r="B17" s="28"/>
      <c r="C17" s="38"/>
      <c r="D17" s="38"/>
      <c r="E17" s="38"/>
      <c r="F17" s="38"/>
      <c r="G17" s="38"/>
      <c r="H17" s="38"/>
      <c r="I17" s="38"/>
      <c r="J17" s="38"/>
      <c r="K17" s="38"/>
      <c r="L17" s="38"/>
      <c r="M17" s="38"/>
      <c r="N17" s="38"/>
      <c r="O17" s="38"/>
      <c r="P17" s="91"/>
      <c r="Q17" s="2"/>
      <c r="R17" s="2"/>
      <c r="S17" s="2"/>
      <c r="T17" s="2"/>
      <c r="U17" s="2"/>
      <c r="V17" s="2"/>
      <c r="W17" s="2"/>
      <c r="X17" s="2"/>
      <c r="Y17" s="2"/>
      <c r="Z17" s="2"/>
    </row>
    <row r="18" ht="14.25" customHeight="1">
      <c r="A18" s="27"/>
      <c r="B18" s="27"/>
      <c r="C18" s="91"/>
      <c r="D18" s="91"/>
      <c r="E18" s="91"/>
      <c r="F18" s="91"/>
      <c r="G18" s="91"/>
      <c r="H18" s="27"/>
      <c r="I18" s="27"/>
      <c r="J18" s="27"/>
      <c r="K18" s="27"/>
      <c r="L18" s="27"/>
      <c r="M18" s="91"/>
      <c r="N18" s="91"/>
      <c r="O18" s="91"/>
      <c r="P18" s="91"/>
      <c r="Q18" s="2"/>
      <c r="R18" s="2"/>
      <c r="S18" s="2"/>
      <c r="T18" s="2"/>
      <c r="U18" s="2"/>
      <c r="V18" s="2"/>
      <c r="W18" s="2"/>
      <c r="X18" s="2"/>
      <c r="Y18" s="2"/>
      <c r="Z18" s="2"/>
    </row>
    <row r="19" ht="14.25" customHeight="1">
      <c r="A19" s="27"/>
      <c r="B19" s="27"/>
      <c r="C19" s="91"/>
      <c r="D19" s="91"/>
      <c r="E19" s="91"/>
      <c r="F19" s="91"/>
      <c r="G19" s="91"/>
      <c r="H19" s="27"/>
      <c r="I19" s="27"/>
      <c r="J19" s="27"/>
      <c r="K19" s="27"/>
      <c r="L19" s="27"/>
      <c r="M19" s="91"/>
      <c r="N19" s="91"/>
      <c r="O19" s="91"/>
      <c r="P19" s="91"/>
      <c r="Q19" s="2"/>
      <c r="R19" s="2"/>
      <c r="S19" s="2"/>
      <c r="T19" s="2"/>
      <c r="U19" s="2"/>
      <c r="V19" s="2"/>
      <c r="W19" s="2"/>
      <c r="X19" s="2"/>
      <c r="Y19" s="2"/>
      <c r="Z19" s="2"/>
    </row>
    <row r="20" ht="14.25" customHeight="1">
      <c r="A20" s="27"/>
      <c r="B20" s="116"/>
      <c r="C20" s="91"/>
      <c r="D20" s="91"/>
      <c r="E20" s="91"/>
      <c r="F20" s="91"/>
      <c r="G20" s="91"/>
      <c r="H20" s="27"/>
      <c r="I20" s="27"/>
      <c r="J20" s="27"/>
      <c r="K20" s="27"/>
      <c r="L20" s="27"/>
      <c r="M20" s="91"/>
      <c r="N20" s="91"/>
      <c r="O20" s="91"/>
      <c r="P20" s="91"/>
      <c r="Q20" s="2"/>
      <c r="R20" s="2"/>
      <c r="S20" s="2"/>
      <c r="T20" s="2"/>
      <c r="U20" s="2"/>
      <c r="V20" s="2"/>
      <c r="W20" s="2"/>
      <c r="X20" s="2"/>
      <c r="Y20" s="2"/>
      <c r="Z20" s="2"/>
    </row>
    <row r="21" ht="14.25" customHeight="1">
      <c r="A21" s="27"/>
      <c r="B21" s="27"/>
      <c r="C21" s="91"/>
      <c r="D21" s="91"/>
      <c r="E21" s="91"/>
      <c r="F21" s="91"/>
      <c r="G21" s="91"/>
      <c r="H21" s="27"/>
      <c r="I21" s="27"/>
      <c r="J21" s="27"/>
      <c r="K21" s="27"/>
      <c r="L21" s="27"/>
      <c r="M21" s="91"/>
      <c r="N21" s="91"/>
      <c r="O21" s="91"/>
      <c r="P21" s="91"/>
      <c r="Q21" s="2"/>
      <c r="R21" s="2"/>
      <c r="S21" s="2"/>
      <c r="T21" s="2"/>
      <c r="U21" s="2"/>
      <c r="V21" s="2"/>
      <c r="W21" s="2"/>
      <c r="X21" s="2"/>
      <c r="Y21" s="2"/>
      <c r="Z21" s="2"/>
    </row>
    <row r="22" ht="14.25" customHeight="1">
      <c r="A22" s="27"/>
      <c r="B22" s="27"/>
      <c r="C22" s="91"/>
      <c r="D22" s="91"/>
      <c r="E22" s="91"/>
      <c r="F22" s="91"/>
      <c r="G22" s="91"/>
      <c r="H22" s="27"/>
      <c r="I22" s="27"/>
      <c r="J22" s="27"/>
      <c r="K22" s="27"/>
      <c r="L22" s="27"/>
      <c r="M22" s="91"/>
      <c r="N22" s="91"/>
      <c r="O22" s="91"/>
      <c r="P22" s="91"/>
      <c r="Q22" s="2"/>
      <c r="R22" s="2"/>
      <c r="S22" s="2"/>
      <c r="T22" s="2"/>
      <c r="U22" s="2"/>
      <c r="V22" s="2"/>
      <c r="W22" s="2"/>
      <c r="X22" s="2"/>
      <c r="Y22" s="2"/>
      <c r="Z22" s="2"/>
    </row>
    <row r="23" ht="15.75" customHeight="1">
      <c r="A23" s="27"/>
      <c r="B23" s="27"/>
      <c r="C23" s="27"/>
      <c r="D23" s="27"/>
      <c r="E23" s="27"/>
      <c r="F23" s="27"/>
      <c r="G23" s="27"/>
      <c r="H23" s="27"/>
      <c r="I23" s="27"/>
      <c r="J23" s="27"/>
      <c r="K23" s="27"/>
      <c r="L23" s="27"/>
      <c r="M23" s="27"/>
      <c r="N23" s="27"/>
      <c r="O23" s="27"/>
      <c r="P23" s="91"/>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7"/>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G5"/>
  </mergeCells>
  <dataValidations>
    <dataValidation type="list" allowBlank="1" showInputMessage="1" showErrorMessage="1" prompt=" - " sqref="E9">
      <formula1>$P$7:$P$10</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outlinePr summaryBelow="0" summaryRight="0"/>
    <pageSetUpPr/>
  </sheetPr>
  <sheetViews>
    <sheetView showGridLines="0" workbookViewId="0"/>
  </sheetViews>
  <sheetFormatPr customHeight="1" defaultColWidth="14.43" defaultRowHeight="15.0"/>
  <cols>
    <col customWidth="1" min="1" max="1" width="5.43"/>
    <col customWidth="1" min="2" max="2" width="2.71"/>
    <col customWidth="1" min="3" max="4" width="15.71"/>
    <col customWidth="1" min="5" max="5" width="11.86"/>
    <col customWidth="1" min="6" max="6" width="11.14"/>
    <col customWidth="1" min="7" max="7" width="12.57"/>
    <col customWidth="1" min="8" max="8" width="3.86"/>
    <col customWidth="1" min="9" max="9" width="10.14"/>
    <col customWidth="1" min="10" max="10" width="33.14"/>
    <col customWidth="1" min="11" max="11" width="12.57"/>
    <col customWidth="1" min="12" max="16" width="11.29"/>
    <col customWidth="1" min="17" max="24" width="17.29"/>
  </cols>
  <sheetData>
    <row r="1" ht="15.75" customHeight="1">
      <c r="A1" s="27">
        <f>K7*0.2</f>
        <v>40000</v>
      </c>
      <c r="B1" s="27"/>
      <c r="C1" s="27"/>
      <c r="D1" s="27"/>
      <c r="E1" s="27"/>
      <c r="F1" s="27"/>
      <c r="G1" s="27"/>
      <c r="H1" s="27"/>
      <c r="I1" s="27"/>
      <c r="J1" s="27"/>
      <c r="K1" s="27"/>
      <c r="L1" s="27"/>
      <c r="M1" s="27"/>
      <c r="N1" s="27"/>
      <c r="O1" s="27"/>
      <c r="P1" s="27"/>
      <c r="Q1" s="2"/>
      <c r="R1" s="2"/>
      <c r="S1" s="2"/>
      <c r="T1" s="2"/>
      <c r="U1" s="2"/>
      <c r="V1" s="2"/>
      <c r="W1" s="2"/>
      <c r="X1" s="2"/>
    </row>
    <row r="2">
      <c r="A2" s="84"/>
      <c r="B2" s="85"/>
      <c r="C2" s="86"/>
      <c r="D2" s="86"/>
      <c r="E2" s="86"/>
      <c r="F2" s="86"/>
      <c r="G2" s="86"/>
      <c r="H2" s="86"/>
      <c r="I2" s="87"/>
      <c r="J2" s="87"/>
      <c r="K2" s="87"/>
      <c r="L2" s="87"/>
      <c r="M2" s="87"/>
      <c r="N2" s="87"/>
      <c r="O2" s="87"/>
      <c r="P2" s="88"/>
      <c r="Q2" s="2"/>
      <c r="R2" s="2"/>
      <c r="S2" s="2"/>
      <c r="T2" s="2"/>
      <c r="U2" s="2"/>
      <c r="V2" s="2"/>
      <c r="W2" s="2"/>
      <c r="X2" s="2"/>
    </row>
    <row r="3" ht="18.75" customHeight="1">
      <c r="A3" s="84"/>
      <c r="B3" s="85"/>
      <c r="C3" s="153" t="s">
        <v>132</v>
      </c>
      <c r="D3" s="86"/>
      <c r="E3" s="86"/>
      <c r="F3" s="86"/>
      <c r="G3" s="86"/>
      <c r="H3" s="86"/>
      <c r="I3" s="90" t="s">
        <v>133</v>
      </c>
      <c r="J3" s="87"/>
      <c r="K3" s="87"/>
      <c r="L3" s="87"/>
      <c r="M3" s="87"/>
      <c r="N3" s="87"/>
      <c r="O3" s="87"/>
      <c r="P3" s="88"/>
      <c r="Q3" s="2"/>
      <c r="R3" s="2"/>
      <c r="S3" s="2"/>
      <c r="T3" s="2"/>
      <c r="U3" s="2"/>
      <c r="V3" s="2"/>
      <c r="W3" s="2"/>
      <c r="X3" s="2"/>
    </row>
    <row r="4" ht="12.75" customHeight="1">
      <c r="A4" s="91"/>
      <c r="B4" s="38"/>
      <c r="C4" s="92"/>
      <c r="D4" s="86"/>
      <c r="E4" s="86"/>
      <c r="F4" s="86"/>
      <c r="G4" s="86"/>
      <c r="H4" s="86"/>
      <c r="I4" s="86"/>
      <c r="J4" s="86"/>
      <c r="K4" s="86"/>
      <c r="L4" s="86"/>
      <c r="M4" s="86"/>
      <c r="N4" s="86"/>
      <c r="O4" s="86"/>
      <c r="P4" s="93"/>
      <c r="Q4" s="2"/>
      <c r="R4" s="2"/>
      <c r="S4" s="2"/>
      <c r="T4" s="2"/>
      <c r="U4" s="2"/>
      <c r="V4" s="2"/>
      <c r="W4" s="2"/>
      <c r="X4" s="2"/>
    </row>
    <row r="5" ht="24.0" customHeight="1">
      <c r="A5" s="91"/>
      <c r="B5" s="38"/>
      <c r="C5" s="94" t="s">
        <v>82</v>
      </c>
      <c r="D5" s="94">
        <f>M16</f>
        <v>25980000</v>
      </c>
      <c r="E5" s="86"/>
      <c r="F5" s="95" t="s">
        <v>119</v>
      </c>
      <c r="G5" s="45"/>
      <c r="H5" s="86"/>
      <c r="I5" s="46" t="s">
        <v>84</v>
      </c>
      <c r="J5" s="46" t="s">
        <v>85</v>
      </c>
      <c r="K5" s="46" t="s">
        <v>134</v>
      </c>
      <c r="L5" s="46" t="s">
        <v>135</v>
      </c>
      <c r="M5" s="46" t="s">
        <v>88</v>
      </c>
      <c r="N5" s="46" t="s">
        <v>89</v>
      </c>
      <c r="O5" s="86"/>
      <c r="P5" s="93"/>
      <c r="Q5" s="2"/>
      <c r="R5" s="2"/>
      <c r="S5" s="2"/>
      <c r="T5" s="2"/>
      <c r="U5" s="2"/>
      <c r="V5" s="2"/>
      <c r="W5" s="2"/>
      <c r="X5" s="2"/>
    </row>
    <row r="6" ht="12.75" customHeight="1">
      <c r="A6" s="91"/>
      <c r="B6" s="38"/>
      <c r="C6" s="94" t="s">
        <v>90</v>
      </c>
      <c r="D6" s="94">
        <f>N16</f>
        <v>5000000</v>
      </c>
      <c r="E6" s="86"/>
      <c r="F6" s="97" t="s">
        <v>115</v>
      </c>
      <c r="G6" s="154">
        <f>(COUNT(C10:C14)*(COUNT(C10:C14)+1))/2</f>
        <v>15</v>
      </c>
      <c r="H6" s="86"/>
      <c r="I6" s="157">
        <v>10.0</v>
      </c>
      <c r="J6" s="157" t="s">
        <v>136</v>
      </c>
      <c r="K6" s="100">
        <v>1000000.0</v>
      </c>
      <c r="L6" s="100">
        <v>200000.0</v>
      </c>
      <c r="M6" s="69">
        <f t="shared" ref="M6:M15" si="1">K6*I6</f>
        <v>10000000</v>
      </c>
      <c r="N6" s="69">
        <f t="shared" ref="N6:N15" si="2">L6*I6</f>
        <v>2000000</v>
      </c>
      <c r="O6" s="86"/>
      <c r="P6" s="96"/>
      <c r="Q6" s="2"/>
      <c r="R6" s="2"/>
      <c r="S6" s="2"/>
      <c r="T6" s="2"/>
      <c r="U6" s="2"/>
      <c r="V6" s="2"/>
      <c r="W6" s="2"/>
      <c r="X6" s="2"/>
    </row>
    <row r="7" ht="12.75" customHeight="1">
      <c r="A7" s="91"/>
      <c r="B7" s="38"/>
      <c r="C7" s="94" t="s">
        <v>94</v>
      </c>
      <c r="D7" s="94">
        <f>+D5-D6</f>
        <v>20980000</v>
      </c>
      <c r="E7" s="86"/>
      <c r="F7" s="38"/>
      <c r="G7" s="38"/>
      <c r="H7" s="86"/>
      <c r="I7" s="157">
        <v>3.0</v>
      </c>
      <c r="J7" s="157" t="s">
        <v>137</v>
      </c>
      <c r="K7" s="100">
        <v>200000.0</v>
      </c>
      <c r="L7" s="100">
        <v>20000.0</v>
      </c>
      <c r="M7" s="69">
        <f t="shared" si="1"/>
        <v>600000</v>
      </c>
      <c r="N7" s="69">
        <f t="shared" si="2"/>
        <v>60000</v>
      </c>
      <c r="O7" s="86"/>
      <c r="P7" s="96" t="s">
        <v>97</v>
      </c>
      <c r="Q7" s="2"/>
      <c r="R7" s="2"/>
      <c r="S7" s="2"/>
      <c r="T7" s="2"/>
      <c r="U7" s="2"/>
      <c r="V7" s="2"/>
      <c r="W7" s="2"/>
      <c r="X7" s="2"/>
    </row>
    <row r="8" ht="12.75" customHeight="1">
      <c r="A8" s="91"/>
      <c r="B8" s="38"/>
      <c r="C8" s="86"/>
      <c r="D8" s="86"/>
      <c r="E8" s="38"/>
      <c r="F8" s="38"/>
      <c r="G8" s="38"/>
      <c r="H8" s="38"/>
      <c r="I8" s="157">
        <v>3.0</v>
      </c>
      <c r="J8" s="158" t="s">
        <v>138</v>
      </c>
      <c r="K8" s="100">
        <v>400000.0</v>
      </c>
      <c r="L8" s="100">
        <v>80000.0</v>
      </c>
      <c r="M8" s="69">
        <f t="shared" si="1"/>
        <v>1200000</v>
      </c>
      <c r="N8" s="69">
        <f t="shared" si="2"/>
        <v>240000</v>
      </c>
      <c r="O8" s="86"/>
      <c r="P8" s="96" t="s">
        <v>100</v>
      </c>
      <c r="Q8" s="2"/>
      <c r="R8" s="2"/>
      <c r="S8" s="2"/>
      <c r="T8" s="2"/>
      <c r="U8" s="2"/>
      <c r="V8" s="2"/>
      <c r="W8" s="2"/>
      <c r="X8" s="2"/>
    </row>
    <row r="9" ht="25.5" customHeight="1">
      <c r="A9" s="91"/>
      <c r="B9" s="38"/>
      <c r="C9" s="46" t="s">
        <v>101</v>
      </c>
      <c r="D9" s="46" t="s">
        <v>102</v>
      </c>
      <c r="E9" s="104" t="s">
        <v>100</v>
      </c>
      <c r="F9" s="46" t="s">
        <v>103</v>
      </c>
      <c r="G9" s="46" t="s">
        <v>104</v>
      </c>
      <c r="H9" s="105"/>
      <c r="I9" s="155">
        <v>5.0</v>
      </c>
      <c r="J9" s="155" t="s">
        <v>139</v>
      </c>
      <c r="K9" s="100">
        <v>2500000.0</v>
      </c>
      <c r="L9" s="100">
        <v>500000.0</v>
      </c>
      <c r="M9" s="69">
        <f t="shared" si="1"/>
        <v>12500000</v>
      </c>
      <c r="N9" s="69">
        <f t="shared" si="2"/>
        <v>2500000</v>
      </c>
      <c r="O9" s="86"/>
      <c r="P9" s="96" t="s">
        <v>107</v>
      </c>
      <c r="Q9" s="2"/>
      <c r="R9" s="2"/>
      <c r="S9" s="2"/>
      <c r="T9" s="2"/>
      <c r="U9" s="2"/>
      <c r="V9" s="2"/>
      <c r="W9" s="2"/>
      <c r="X9" s="2"/>
    </row>
    <row r="10" ht="13.5" customHeight="1">
      <c r="A10" s="27"/>
      <c r="B10" s="28"/>
      <c r="C10" s="106">
        <v>1.0</v>
      </c>
      <c r="D10" s="94">
        <f t="shared" ref="D10:D14" si="3">$D$7</f>
        <v>20980000</v>
      </c>
      <c r="E10" s="107">
        <f>5/15</f>
        <v>0.3333333333</v>
      </c>
      <c r="F10" s="94">
        <f t="shared" ref="F10:F14" si="4">D10*E10</f>
        <v>6993333.333</v>
      </c>
      <c r="G10" s="152">
        <f>+D5-F10</f>
        <v>18986666.67</v>
      </c>
      <c r="H10" s="28"/>
      <c r="I10" s="159">
        <v>2.0</v>
      </c>
      <c r="J10" s="159" t="s">
        <v>140</v>
      </c>
      <c r="K10" s="64">
        <f>1400*600</f>
        <v>840000</v>
      </c>
      <c r="L10" s="100">
        <v>100000.0</v>
      </c>
      <c r="M10" s="69">
        <f t="shared" si="1"/>
        <v>1680000</v>
      </c>
      <c r="N10" s="69">
        <f t="shared" si="2"/>
        <v>200000</v>
      </c>
      <c r="O10" s="38"/>
      <c r="P10" s="109" t="s">
        <v>123</v>
      </c>
      <c r="Q10" s="2"/>
      <c r="R10" s="2"/>
      <c r="S10" s="2"/>
      <c r="T10" s="2"/>
      <c r="U10" s="2"/>
      <c r="V10" s="2"/>
      <c r="W10" s="2"/>
      <c r="X10" s="2"/>
    </row>
    <row r="11" ht="13.5" customHeight="1">
      <c r="A11" s="27"/>
      <c r="B11" s="28"/>
      <c r="C11" s="106">
        <v>2.0</v>
      </c>
      <c r="D11" s="94">
        <f t="shared" si="3"/>
        <v>20980000</v>
      </c>
      <c r="E11" s="107">
        <f>4/15</f>
        <v>0.2666666667</v>
      </c>
      <c r="F11" s="94">
        <f t="shared" si="4"/>
        <v>5594666.667</v>
      </c>
      <c r="G11" s="152">
        <f t="shared" ref="G11:G14" si="5">+G10-F11</f>
        <v>13392000</v>
      </c>
      <c r="H11" s="28"/>
      <c r="I11" s="40"/>
      <c r="J11" s="40"/>
      <c r="K11" s="64"/>
      <c r="L11" s="64"/>
      <c r="M11" s="69">
        <f t="shared" si="1"/>
        <v>0</v>
      </c>
      <c r="N11" s="69">
        <f t="shared" si="2"/>
        <v>0</v>
      </c>
      <c r="O11" s="38"/>
      <c r="P11" s="109"/>
      <c r="Q11" s="2"/>
      <c r="R11" s="2"/>
      <c r="S11" s="2"/>
      <c r="T11" s="2"/>
      <c r="U11" s="2"/>
      <c r="V11" s="2"/>
      <c r="W11" s="2"/>
      <c r="X11" s="2"/>
    </row>
    <row r="12" ht="13.5" customHeight="1">
      <c r="A12" s="27"/>
      <c r="B12" s="28"/>
      <c r="C12" s="106">
        <v>3.0</v>
      </c>
      <c r="D12" s="94">
        <f t="shared" si="3"/>
        <v>20980000</v>
      </c>
      <c r="E12" s="107">
        <f>3/15</f>
        <v>0.2</v>
      </c>
      <c r="F12" s="94">
        <f t="shared" si="4"/>
        <v>4196000</v>
      </c>
      <c r="G12" s="152">
        <f t="shared" si="5"/>
        <v>9196000</v>
      </c>
      <c r="H12" s="28"/>
      <c r="I12" s="40"/>
      <c r="J12" s="40"/>
      <c r="K12" s="64"/>
      <c r="L12" s="64"/>
      <c r="M12" s="69">
        <f t="shared" si="1"/>
        <v>0</v>
      </c>
      <c r="N12" s="69">
        <f t="shared" si="2"/>
        <v>0</v>
      </c>
      <c r="O12" s="38"/>
      <c r="P12" s="109"/>
      <c r="Q12" s="2"/>
      <c r="R12" s="2"/>
      <c r="S12" s="2"/>
      <c r="T12" s="2"/>
      <c r="U12" s="2"/>
      <c r="V12" s="2"/>
      <c r="W12" s="2"/>
      <c r="X12" s="2"/>
    </row>
    <row r="13" ht="13.5" customHeight="1">
      <c r="A13" s="27"/>
      <c r="B13" s="28"/>
      <c r="C13" s="106">
        <v>4.0</v>
      </c>
      <c r="D13" s="94">
        <f t="shared" si="3"/>
        <v>20980000</v>
      </c>
      <c r="E13" s="107">
        <f>2/15</f>
        <v>0.1333333333</v>
      </c>
      <c r="F13" s="94">
        <f t="shared" si="4"/>
        <v>2797333.333</v>
      </c>
      <c r="G13" s="152">
        <f t="shared" si="5"/>
        <v>6398666.667</v>
      </c>
      <c r="H13" s="28"/>
      <c r="I13" s="40"/>
      <c r="J13" s="40"/>
      <c r="K13" s="64"/>
      <c r="L13" s="64"/>
      <c r="M13" s="69">
        <f t="shared" si="1"/>
        <v>0</v>
      </c>
      <c r="N13" s="69">
        <f t="shared" si="2"/>
        <v>0</v>
      </c>
      <c r="O13" s="38"/>
      <c r="P13" s="109"/>
      <c r="Q13" s="2"/>
      <c r="R13" s="2"/>
      <c r="S13" s="2"/>
      <c r="T13" s="2"/>
      <c r="U13" s="2"/>
      <c r="V13" s="2"/>
      <c r="W13" s="2"/>
      <c r="X13" s="2"/>
    </row>
    <row r="14" ht="14.25" customHeight="1">
      <c r="A14" s="27"/>
      <c r="B14" s="28"/>
      <c r="C14" s="106">
        <v>5.0</v>
      </c>
      <c r="D14" s="94">
        <f t="shared" si="3"/>
        <v>20980000</v>
      </c>
      <c r="E14" s="107">
        <f>1/15</f>
        <v>0.06666666667</v>
      </c>
      <c r="F14" s="94">
        <f t="shared" si="4"/>
        <v>1398666.667</v>
      </c>
      <c r="G14" s="152">
        <f t="shared" si="5"/>
        <v>5000000</v>
      </c>
      <c r="H14" s="38"/>
      <c r="I14" s="40"/>
      <c r="J14" s="40"/>
      <c r="K14" s="64"/>
      <c r="L14" s="64"/>
      <c r="M14" s="69">
        <f t="shared" si="1"/>
        <v>0</v>
      </c>
      <c r="N14" s="69">
        <f t="shared" si="2"/>
        <v>0</v>
      </c>
      <c r="O14" s="38"/>
      <c r="P14" s="109"/>
      <c r="Q14" s="2"/>
      <c r="R14" s="2"/>
      <c r="S14" s="2"/>
      <c r="T14" s="2"/>
      <c r="U14" s="2"/>
      <c r="V14" s="2"/>
      <c r="W14" s="2"/>
      <c r="X14" s="2"/>
    </row>
    <row r="15" ht="14.25" customHeight="1">
      <c r="A15" s="27"/>
      <c r="B15" s="28"/>
      <c r="C15" s="38"/>
      <c r="D15" s="111" t="s">
        <v>102</v>
      </c>
      <c r="E15" s="112">
        <f t="shared" ref="E15:F15" si="6">SUM(E10:E14)</f>
        <v>1</v>
      </c>
      <c r="F15" s="113">
        <f t="shared" si="6"/>
        <v>20980000</v>
      </c>
      <c r="G15" s="114">
        <f>+G14-D6</f>
        <v>-0.0000000009313225746</v>
      </c>
      <c r="H15" s="38"/>
      <c r="I15" s="40"/>
      <c r="J15" s="40"/>
      <c r="K15" s="64"/>
      <c r="L15" s="64"/>
      <c r="M15" s="69">
        <f t="shared" si="1"/>
        <v>0</v>
      </c>
      <c r="N15" s="69">
        <f t="shared" si="2"/>
        <v>0</v>
      </c>
      <c r="O15" s="38"/>
      <c r="P15" s="91"/>
      <c r="Q15" s="2"/>
      <c r="R15" s="2"/>
      <c r="S15" s="2"/>
      <c r="T15" s="2"/>
      <c r="U15" s="2"/>
      <c r="V15" s="2"/>
      <c r="W15" s="2"/>
      <c r="X15" s="2"/>
    </row>
    <row r="16" ht="14.25" customHeight="1">
      <c r="A16" s="27"/>
      <c r="B16" s="28"/>
      <c r="C16" s="38"/>
      <c r="D16" s="38"/>
      <c r="E16" s="38"/>
      <c r="F16" s="38"/>
      <c r="G16" s="38"/>
      <c r="H16" s="38"/>
      <c r="I16" s="38"/>
      <c r="J16" s="86"/>
      <c r="K16" s="86"/>
      <c r="L16" s="86"/>
      <c r="M16" s="115">
        <f t="shared" ref="M16:N16" si="7">SUM(M6:M15)</f>
        <v>25980000</v>
      </c>
      <c r="N16" s="115">
        <f t="shared" si="7"/>
        <v>5000000</v>
      </c>
      <c r="O16" s="38"/>
      <c r="P16" s="91"/>
      <c r="Q16" s="2"/>
      <c r="R16" s="2"/>
      <c r="S16" s="2"/>
      <c r="T16" s="2"/>
      <c r="U16" s="2"/>
      <c r="V16" s="2"/>
      <c r="W16" s="2"/>
      <c r="X16" s="2"/>
    </row>
    <row r="17" ht="14.25" customHeight="1">
      <c r="A17" s="27"/>
      <c r="B17" s="28"/>
      <c r="C17" s="38"/>
      <c r="D17" s="38"/>
      <c r="E17" s="38"/>
      <c r="F17" s="38"/>
      <c r="G17" s="38"/>
      <c r="H17" s="38"/>
      <c r="I17" s="38"/>
      <c r="J17" s="38"/>
      <c r="K17" s="38"/>
      <c r="L17" s="38"/>
      <c r="M17" s="38"/>
      <c r="N17" s="38"/>
      <c r="O17" s="38"/>
      <c r="P17" s="91"/>
      <c r="Q17" s="2"/>
      <c r="R17" s="2"/>
      <c r="S17" s="2"/>
      <c r="T17" s="2"/>
      <c r="U17" s="2"/>
      <c r="V17" s="2"/>
      <c r="W17" s="2"/>
      <c r="X17" s="2"/>
    </row>
    <row r="18" ht="14.25" customHeight="1">
      <c r="A18" s="27"/>
      <c r="B18" s="27"/>
      <c r="C18" s="91"/>
      <c r="D18" s="91"/>
      <c r="E18" s="91"/>
      <c r="F18" s="91"/>
      <c r="G18" s="91"/>
      <c r="H18" s="27"/>
      <c r="I18" s="27"/>
      <c r="J18" s="27"/>
      <c r="K18" s="27"/>
      <c r="L18" s="27"/>
      <c r="M18" s="91"/>
      <c r="N18" s="91"/>
      <c r="O18" s="91"/>
      <c r="P18" s="91"/>
      <c r="Q18" s="2"/>
      <c r="R18" s="2"/>
      <c r="S18" s="2"/>
      <c r="T18" s="2"/>
      <c r="U18" s="2"/>
      <c r="V18" s="2"/>
      <c r="W18" s="2"/>
      <c r="X18" s="2"/>
    </row>
    <row r="19" ht="14.25" customHeight="1">
      <c r="A19" s="27"/>
      <c r="B19" s="27"/>
      <c r="C19" s="91"/>
      <c r="D19" s="91"/>
      <c r="E19" s="91"/>
      <c r="F19" s="91"/>
      <c r="G19" s="91"/>
      <c r="H19" s="27"/>
      <c r="I19" s="27"/>
      <c r="J19" s="27"/>
      <c r="K19" s="27"/>
      <c r="L19" s="27"/>
      <c r="M19" s="91"/>
      <c r="N19" s="91"/>
      <c r="O19" s="91"/>
      <c r="P19" s="91"/>
      <c r="Q19" s="2"/>
      <c r="R19" s="2"/>
      <c r="S19" s="2"/>
      <c r="T19" s="2"/>
      <c r="U19" s="2"/>
      <c r="V19" s="2"/>
      <c r="W19" s="2"/>
      <c r="X19" s="2"/>
    </row>
    <row r="20" ht="14.25" customHeight="1">
      <c r="A20" s="27"/>
      <c r="B20" s="116"/>
      <c r="C20" s="91"/>
      <c r="D20" s="91"/>
      <c r="E20" s="91"/>
      <c r="F20" s="91"/>
      <c r="G20" s="91"/>
      <c r="H20" s="27"/>
      <c r="I20" s="27"/>
      <c r="J20" s="27"/>
      <c r="K20" s="27"/>
      <c r="L20" s="27"/>
      <c r="M20" s="91"/>
      <c r="N20" s="91"/>
      <c r="O20" s="91"/>
      <c r="P20" s="91"/>
      <c r="Q20" s="2"/>
      <c r="R20" s="2"/>
      <c r="S20" s="2"/>
      <c r="T20" s="2"/>
      <c r="U20" s="2"/>
      <c r="V20" s="2"/>
      <c r="W20" s="2"/>
      <c r="X20" s="2"/>
    </row>
    <row r="21" ht="14.25" customHeight="1">
      <c r="A21" s="27"/>
      <c r="B21" s="27"/>
      <c r="C21" s="91"/>
      <c r="D21" s="91"/>
      <c r="E21" s="91"/>
      <c r="F21" s="91"/>
      <c r="G21" s="91"/>
      <c r="H21" s="27"/>
      <c r="I21" s="27"/>
      <c r="J21" s="27"/>
      <c r="K21" s="27"/>
      <c r="L21" s="27"/>
      <c r="M21" s="91"/>
      <c r="N21" s="91"/>
      <c r="O21" s="91"/>
      <c r="P21" s="91"/>
      <c r="Q21" s="2"/>
      <c r="R21" s="2"/>
      <c r="S21" s="2"/>
      <c r="T21" s="2"/>
      <c r="U21" s="2"/>
      <c r="V21" s="2"/>
      <c r="W21" s="2"/>
      <c r="X21" s="2"/>
    </row>
    <row r="22" ht="14.25" customHeight="1">
      <c r="A22" s="27"/>
      <c r="B22" s="27"/>
      <c r="C22" s="91"/>
      <c r="D22" s="91"/>
      <c r="E22" s="91"/>
      <c r="F22" s="91"/>
      <c r="G22" s="91"/>
      <c r="H22" s="27"/>
      <c r="I22" s="27"/>
      <c r="J22" s="27"/>
      <c r="K22" s="27"/>
      <c r="L22" s="27"/>
      <c r="M22" s="91"/>
      <c r="N22" s="91"/>
      <c r="O22" s="91"/>
      <c r="P22" s="91"/>
      <c r="Q22" s="2"/>
      <c r="R22" s="2"/>
      <c r="S22" s="2"/>
      <c r="T22" s="2"/>
      <c r="U22" s="2"/>
      <c r="V22" s="2"/>
      <c r="W22" s="2"/>
      <c r="X22" s="2"/>
    </row>
    <row r="23" ht="15.75" customHeight="1">
      <c r="A23" s="27"/>
      <c r="B23" s="27"/>
      <c r="C23" s="27"/>
      <c r="D23" s="27"/>
      <c r="E23" s="27"/>
      <c r="F23" s="27"/>
      <c r="G23" s="27"/>
      <c r="H23" s="27"/>
      <c r="I23" s="27"/>
      <c r="J23" s="27"/>
      <c r="K23" s="27"/>
      <c r="L23" s="27"/>
      <c r="M23" s="27"/>
      <c r="N23" s="27"/>
      <c r="O23" s="27"/>
      <c r="P23" s="91"/>
      <c r="Q23" s="2"/>
      <c r="R23" s="2"/>
      <c r="S23" s="2"/>
      <c r="T23" s="2"/>
      <c r="U23" s="2"/>
      <c r="V23" s="2"/>
      <c r="W23" s="2"/>
      <c r="X23" s="2"/>
    </row>
    <row r="24" ht="15.75" customHeight="1">
      <c r="A24" s="2"/>
      <c r="B24" s="2"/>
      <c r="C24" s="2"/>
      <c r="D24" s="2"/>
      <c r="E24" s="2"/>
      <c r="F24" s="2"/>
      <c r="G24" s="2"/>
      <c r="H24" s="2"/>
      <c r="I24" s="2"/>
      <c r="J24" s="2"/>
      <c r="K24" s="2"/>
      <c r="L24" s="2"/>
      <c r="M24" s="2"/>
      <c r="N24" s="2"/>
      <c r="O24" s="2"/>
      <c r="P24" s="27"/>
      <c r="Q24" s="2"/>
      <c r="R24" s="2"/>
      <c r="S24" s="2"/>
      <c r="T24" s="2"/>
      <c r="U24" s="2"/>
      <c r="V24" s="2"/>
      <c r="W24" s="2"/>
      <c r="X24" s="2"/>
    </row>
    <row r="25" ht="15.75" customHeight="1">
      <c r="A25" s="2"/>
      <c r="B25" s="2"/>
      <c r="C25" s="2"/>
      <c r="D25" s="2"/>
      <c r="E25" s="2"/>
      <c r="F25" s="2"/>
      <c r="G25" s="2"/>
      <c r="H25" s="2"/>
      <c r="I25" s="2"/>
      <c r="J25" s="2"/>
      <c r="K25" s="2"/>
      <c r="L25" s="2"/>
      <c r="M25" s="2"/>
      <c r="N25" s="2"/>
      <c r="O25" s="2"/>
      <c r="P25" s="2"/>
      <c r="Q25" s="2"/>
      <c r="R25" s="2"/>
      <c r="S25" s="2"/>
      <c r="T25" s="2"/>
      <c r="U25" s="2"/>
      <c r="V25" s="2"/>
      <c r="W25" s="2"/>
      <c r="X25" s="2"/>
    </row>
    <row r="26" ht="15.75" customHeight="1">
      <c r="A26" s="2"/>
      <c r="B26" s="2"/>
      <c r="C26" s="2"/>
      <c r="D26" s="2"/>
      <c r="E26" s="2"/>
      <c r="F26" s="2"/>
      <c r="G26" s="2"/>
      <c r="H26" s="2"/>
      <c r="I26" s="2"/>
      <c r="J26" s="2"/>
      <c r="K26" s="2"/>
      <c r="L26" s="2"/>
      <c r="M26" s="2"/>
      <c r="N26" s="2"/>
      <c r="O26" s="2"/>
      <c r="P26" s="2"/>
      <c r="Q26" s="2"/>
      <c r="R26" s="2"/>
      <c r="S26" s="2"/>
      <c r="T26" s="2"/>
      <c r="U26" s="2"/>
      <c r="V26" s="2"/>
      <c r="W26" s="2"/>
      <c r="X26" s="2"/>
    </row>
    <row r="27" ht="15.75" customHeight="1">
      <c r="A27" s="2"/>
      <c r="B27" s="2"/>
      <c r="C27" s="2"/>
      <c r="D27" s="2"/>
      <c r="E27" s="2"/>
      <c r="F27" s="2"/>
      <c r="G27" s="2"/>
      <c r="H27" s="2"/>
      <c r="I27" s="2"/>
      <c r="J27" s="2"/>
      <c r="K27" s="2"/>
      <c r="L27" s="2"/>
      <c r="M27" s="2"/>
      <c r="N27" s="2"/>
      <c r="O27" s="2"/>
      <c r="P27" s="2"/>
      <c r="Q27" s="2"/>
      <c r="R27" s="2"/>
      <c r="S27" s="2"/>
      <c r="T27" s="2"/>
      <c r="U27" s="2"/>
      <c r="V27" s="2"/>
      <c r="W27" s="2"/>
      <c r="X27" s="2"/>
    </row>
    <row r="28" ht="15.75" customHeight="1">
      <c r="A28" s="2"/>
      <c r="B28" s="2"/>
      <c r="C28" s="2"/>
      <c r="D28" s="2"/>
      <c r="E28" s="2"/>
      <c r="F28" s="2"/>
      <c r="G28" s="2"/>
      <c r="H28" s="2"/>
      <c r="I28" s="2"/>
      <c r="J28" s="2"/>
      <c r="K28" s="2"/>
      <c r="L28" s="2"/>
      <c r="M28" s="2"/>
      <c r="N28" s="2"/>
      <c r="O28" s="2"/>
      <c r="P28" s="2"/>
      <c r="Q28" s="2"/>
      <c r="R28" s="2"/>
      <c r="S28" s="2"/>
      <c r="T28" s="2"/>
      <c r="U28" s="2"/>
      <c r="V28" s="2"/>
      <c r="W28" s="2"/>
      <c r="X28" s="2"/>
    </row>
    <row r="29" ht="15.75" customHeight="1">
      <c r="A29" s="2"/>
      <c r="B29" s="2"/>
      <c r="C29" s="2"/>
      <c r="D29" s="2"/>
      <c r="E29" s="2"/>
      <c r="F29" s="2"/>
      <c r="G29" s="2"/>
      <c r="H29" s="2"/>
      <c r="I29" s="2"/>
      <c r="J29" s="2"/>
      <c r="K29" s="2"/>
      <c r="L29" s="2"/>
      <c r="M29" s="2"/>
      <c r="N29" s="2"/>
      <c r="O29" s="2"/>
      <c r="P29" s="2"/>
      <c r="Q29" s="2"/>
      <c r="R29" s="2"/>
      <c r="S29" s="2"/>
      <c r="T29" s="2"/>
      <c r="U29" s="2"/>
      <c r="V29" s="2"/>
      <c r="W29" s="2"/>
      <c r="X29" s="2"/>
    </row>
    <row r="30" ht="15.75" customHeight="1">
      <c r="A30" s="2"/>
      <c r="B30" s="2"/>
      <c r="C30" s="2"/>
      <c r="D30" s="2"/>
      <c r="E30" s="2"/>
      <c r="F30" s="2"/>
      <c r="G30" s="2"/>
      <c r="H30" s="2"/>
      <c r="I30" s="2"/>
      <c r="J30" s="2"/>
      <c r="K30" s="2"/>
      <c r="L30" s="2"/>
      <c r="M30" s="2"/>
      <c r="N30" s="2"/>
      <c r="O30" s="2"/>
      <c r="P30" s="2"/>
      <c r="Q30" s="2"/>
      <c r="R30" s="2"/>
      <c r="S30" s="2"/>
      <c r="T30" s="2"/>
      <c r="U30" s="2"/>
      <c r="V30" s="2"/>
      <c r="W30" s="2"/>
      <c r="X30" s="2"/>
    </row>
    <row r="31" ht="15.75" customHeight="1">
      <c r="A31" s="2"/>
      <c r="B31" s="2"/>
      <c r="C31" s="2"/>
      <c r="D31" s="2"/>
      <c r="E31" s="2"/>
      <c r="F31" s="2"/>
      <c r="G31" s="2"/>
      <c r="H31" s="2"/>
      <c r="I31" s="2"/>
      <c r="J31" s="2"/>
      <c r="K31" s="2"/>
      <c r="L31" s="2"/>
      <c r="M31" s="2"/>
      <c r="N31" s="2"/>
      <c r="O31" s="2"/>
      <c r="P31" s="2"/>
      <c r="Q31" s="2"/>
      <c r="R31" s="2"/>
      <c r="S31" s="2"/>
      <c r="T31" s="2"/>
      <c r="U31" s="2"/>
      <c r="V31" s="2"/>
      <c r="W31" s="2"/>
      <c r="X31" s="2"/>
    </row>
    <row r="32" ht="15.75" customHeight="1">
      <c r="A32" s="2"/>
      <c r="B32" s="2"/>
      <c r="C32" s="2"/>
      <c r="D32" s="2"/>
      <c r="E32" s="2"/>
      <c r="F32" s="2"/>
      <c r="G32" s="2"/>
      <c r="H32" s="2"/>
      <c r="I32" s="2"/>
      <c r="J32" s="2"/>
      <c r="K32" s="2"/>
      <c r="L32" s="2"/>
      <c r="M32" s="2"/>
      <c r="N32" s="2"/>
      <c r="O32" s="2"/>
      <c r="P32" s="2"/>
      <c r="Q32" s="2"/>
      <c r="R32" s="2"/>
      <c r="S32" s="2"/>
      <c r="T32" s="2"/>
      <c r="U32" s="2"/>
      <c r="V32" s="2"/>
      <c r="W32" s="2"/>
      <c r="X32" s="2"/>
    </row>
    <row r="33" ht="15.75" customHeight="1">
      <c r="A33" s="2"/>
      <c r="B33" s="2"/>
      <c r="C33" s="2"/>
      <c r="D33" s="2"/>
      <c r="E33" s="2"/>
      <c r="F33" s="2"/>
      <c r="G33" s="2"/>
      <c r="H33" s="2"/>
      <c r="I33" s="2"/>
      <c r="J33" s="2"/>
      <c r="K33" s="2"/>
      <c r="L33" s="2"/>
      <c r="M33" s="2"/>
      <c r="N33" s="2"/>
      <c r="O33" s="2"/>
      <c r="P33" s="2"/>
      <c r="Q33" s="2"/>
      <c r="R33" s="2"/>
      <c r="S33" s="2"/>
      <c r="T33" s="2"/>
      <c r="U33" s="2"/>
      <c r="V33" s="2"/>
      <c r="W33" s="2"/>
      <c r="X33" s="2"/>
    </row>
    <row r="34" ht="15.75" customHeight="1">
      <c r="A34" s="2"/>
      <c r="B34" s="2"/>
      <c r="C34" s="2"/>
      <c r="D34" s="2"/>
      <c r="E34" s="2"/>
      <c r="F34" s="2"/>
      <c r="G34" s="2"/>
      <c r="H34" s="2"/>
      <c r="I34" s="2"/>
      <c r="J34" s="2"/>
      <c r="K34" s="2"/>
      <c r="L34" s="2"/>
      <c r="M34" s="2"/>
      <c r="N34" s="2"/>
      <c r="O34" s="2"/>
      <c r="P34" s="2"/>
      <c r="Q34" s="2"/>
      <c r="R34" s="2"/>
      <c r="S34" s="2"/>
      <c r="T34" s="2"/>
      <c r="U34" s="2"/>
      <c r="V34" s="2"/>
      <c r="W34" s="2"/>
      <c r="X34" s="2"/>
    </row>
    <row r="35" ht="15.75" customHeight="1">
      <c r="A35" s="2"/>
      <c r="B35" s="2"/>
      <c r="C35" s="2"/>
      <c r="D35" s="2"/>
      <c r="E35" s="2"/>
      <c r="F35" s="2"/>
      <c r="G35" s="2"/>
      <c r="H35" s="2"/>
      <c r="I35" s="2"/>
      <c r="J35" s="2"/>
      <c r="K35" s="2"/>
      <c r="L35" s="2"/>
      <c r="M35" s="2"/>
      <c r="N35" s="2"/>
      <c r="O35" s="2"/>
      <c r="P35" s="2"/>
      <c r="Q35" s="2"/>
      <c r="R35" s="2"/>
      <c r="S35" s="2"/>
      <c r="T35" s="2"/>
      <c r="U35" s="2"/>
      <c r="V35" s="2"/>
      <c r="W35" s="2"/>
      <c r="X35" s="2"/>
    </row>
    <row r="36" ht="15.75" customHeight="1">
      <c r="A36" s="2"/>
      <c r="B36" s="2"/>
      <c r="C36" s="2"/>
      <c r="D36" s="2"/>
      <c r="E36" s="2"/>
      <c r="F36" s="2"/>
      <c r="G36" s="2"/>
      <c r="H36" s="2"/>
      <c r="I36" s="2"/>
      <c r="J36" s="2"/>
      <c r="K36" s="2"/>
      <c r="L36" s="2"/>
      <c r="M36" s="2"/>
      <c r="N36" s="2"/>
      <c r="O36" s="2"/>
      <c r="P36" s="2"/>
      <c r="Q36" s="2"/>
      <c r="R36" s="2"/>
      <c r="S36" s="2"/>
      <c r="T36" s="2"/>
      <c r="U36" s="2"/>
      <c r="V36" s="2"/>
      <c r="W36" s="2"/>
      <c r="X36" s="2"/>
    </row>
    <row r="37" ht="15.75" customHeight="1">
      <c r="A37" s="2"/>
      <c r="B37" s="2"/>
      <c r="C37" s="2"/>
      <c r="D37" s="2"/>
      <c r="E37" s="2"/>
      <c r="F37" s="2"/>
      <c r="G37" s="2"/>
      <c r="H37" s="2"/>
      <c r="I37" s="2"/>
      <c r="J37" s="2"/>
      <c r="K37" s="2"/>
      <c r="L37" s="2"/>
      <c r="M37" s="2"/>
      <c r="N37" s="2"/>
      <c r="O37" s="2"/>
      <c r="P37" s="2"/>
      <c r="Q37" s="2"/>
      <c r="R37" s="2"/>
      <c r="S37" s="2"/>
      <c r="T37" s="2"/>
      <c r="U37" s="2"/>
      <c r="V37" s="2"/>
      <c r="W37" s="2"/>
      <c r="X37" s="2"/>
    </row>
    <row r="38" ht="15.75" customHeight="1">
      <c r="A38" s="2"/>
      <c r="B38" s="2"/>
      <c r="C38" s="2"/>
      <c r="D38" s="2"/>
      <c r="E38" s="2"/>
      <c r="F38" s="2"/>
      <c r="G38" s="2"/>
      <c r="H38" s="2"/>
      <c r="I38" s="2"/>
      <c r="J38" s="2"/>
      <c r="K38" s="2"/>
      <c r="L38" s="2"/>
      <c r="M38" s="2"/>
      <c r="N38" s="2"/>
      <c r="O38" s="2"/>
      <c r="P38" s="2"/>
      <c r="Q38" s="2"/>
      <c r="R38" s="2"/>
      <c r="S38" s="2"/>
      <c r="T38" s="2"/>
      <c r="U38" s="2"/>
      <c r="V38" s="2"/>
      <c r="W38" s="2"/>
      <c r="X38" s="2"/>
    </row>
    <row r="39" ht="15.75" customHeight="1">
      <c r="A39" s="2"/>
      <c r="B39" s="2"/>
      <c r="C39" s="2"/>
      <c r="D39" s="2"/>
      <c r="E39" s="2"/>
      <c r="F39" s="2"/>
      <c r="G39" s="2"/>
      <c r="H39" s="2"/>
      <c r="I39" s="2"/>
      <c r="J39" s="2"/>
      <c r="K39" s="2"/>
      <c r="L39" s="2"/>
      <c r="M39" s="2"/>
      <c r="N39" s="2"/>
      <c r="O39" s="2"/>
      <c r="P39" s="2"/>
      <c r="Q39" s="2"/>
      <c r="R39" s="2"/>
      <c r="S39" s="2"/>
      <c r="T39" s="2"/>
      <c r="U39" s="2"/>
      <c r="V39" s="2"/>
      <c r="W39" s="2"/>
      <c r="X39" s="2"/>
    </row>
    <row r="40" ht="15.75" customHeight="1">
      <c r="A40" s="2"/>
      <c r="B40" s="2"/>
      <c r="C40" s="2"/>
      <c r="D40" s="2"/>
      <c r="E40" s="2"/>
      <c r="F40" s="2"/>
      <c r="G40" s="2"/>
      <c r="H40" s="2"/>
      <c r="I40" s="2"/>
      <c r="J40" s="2"/>
      <c r="K40" s="2"/>
      <c r="L40" s="2"/>
      <c r="M40" s="2"/>
      <c r="N40" s="2"/>
      <c r="O40" s="2"/>
      <c r="P40" s="2"/>
      <c r="Q40" s="2"/>
      <c r="R40" s="2"/>
      <c r="S40" s="2"/>
      <c r="T40" s="2"/>
      <c r="U40" s="2"/>
      <c r="V40" s="2"/>
      <c r="W40" s="2"/>
      <c r="X40" s="2"/>
    </row>
    <row r="41" ht="15.75" customHeight="1">
      <c r="A41" s="2"/>
      <c r="B41" s="2"/>
      <c r="C41" s="2"/>
      <c r="D41" s="2"/>
      <c r="E41" s="2"/>
      <c r="F41" s="2"/>
      <c r="G41" s="2"/>
      <c r="H41" s="2"/>
      <c r="I41" s="2"/>
      <c r="J41" s="2"/>
      <c r="K41" s="2"/>
      <c r="L41" s="2"/>
      <c r="M41" s="2"/>
      <c r="N41" s="2"/>
      <c r="O41" s="2"/>
      <c r="P41" s="2"/>
      <c r="Q41" s="2"/>
      <c r="R41" s="2"/>
      <c r="S41" s="2"/>
      <c r="T41" s="2"/>
      <c r="U41" s="2"/>
      <c r="V41" s="2"/>
      <c r="W41" s="2"/>
      <c r="X41" s="2"/>
    </row>
    <row r="42" ht="15.75" customHeight="1">
      <c r="A42" s="2"/>
      <c r="B42" s="2"/>
      <c r="C42" s="2"/>
      <c r="D42" s="2"/>
      <c r="E42" s="2"/>
      <c r="F42" s="2"/>
      <c r="G42" s="2"/>
      <c r="H42" s="2"/>
      <c r="I42" s="2"/>
      <c r="J42" s="2"/>
      <c r="K42" s="2"/>
      <c r="L42" s="2"/>
      <c r="M42" s="2"/>
      <c r="N42" s="2"/>
      <c r="O42" s="2"/>
      <c r="P42" s="2"/>
      <c r="Q42" s="2"/>
      <c r="R42" s="2"/>
      <c r="S42" s="2"/>
      <c r="T42" s="2"/>
      <c r="U42" s="2"/>
      <c r="V42" s="2"/>
      <c r="W42" s="2"/>
      <c r="X42" s="2"/>
    </row>
    <row r="43" ht="15.75" customHeight="1">
      <c r="A43" s="2"/>
      <c r="B43" s="2"/>
      <c r="C43" s="2"/>
      <c r="D43" s="2"/>
      <c r="E43" s="2"/>
      <c r="F43" s="2"/>
      <c r="G43" s="2"/>
      <c r="H43" s="2"/>
      <c r="I43" s="2"/>
      <c r="J43" s="2"/>
      <c r="K43" s="2"/>
      <c r="L43" s="2"/>
      <c r="M43" s="2"/>
      <c r="N43" s="2"/>
      <c r="O43" s="2"/>
      <c r="P43" s="2"/>
      <c r="Q43" s="2"/>
      <c r="R43" s="2"/>
      <c r="S43" s="2"/>
      <c r="T43" s="2"/>
      <c r="U43" s="2"/>
      <c r="V43" s="2"/>
      <c r="W43" s="2"/>
      <c r="X43" s="2"/>
    </row>
    <row r="44" ht="15.75" customHeight="1">
      <c r="A44" s="2"/>
      <c r="B44" s="2"/>
      <c r="C44" s="2"/>
      <c r="D44" s="2"/>
      <c r="E44" s="2"/>
      <c r="F44" s="2"/>
      <c r="G44" s="2"/>
      <c r="H44" s="2"/>
      <c r="I44" s="2"/>
      <c r="J44" s="2"/>
      <c r="K44" s="2"/>
      <c r="L44" s="2"/>
      <c r="M44" s="2"/>
      <c r="N44" s="2"/>
      <c r="O44" s="2"/>
      <c r="P44" s="2"/>
      <c r="Q44" s="2"/>
      <c r="R44" s="2"/>
      <c r="S44" s="2"/>
      <c r="T44" s="2"/>
      <c r="U44" s="2"/>
      <c r="V44" s="2"/>
      <c r="W44" s="2"/>
      <c r="X44" s="2"/>
    </row>
    <row r="45" ht="15.75" customHeight="1">
      <c r="A45" s="2"/>
      <c r="B45" s="2"/>
      <c r="C45" s="2"/>
      <c r="D45" s="2"/>
      <c r="E45" s="2"/>
      <c r="F45" s="2"/>
      <c r="G45" s="2"/>
      <c r="H45" s="2"/>
      <c r="I45" s="2"/>
      <c r="J45" s="2"/>
      <c r="K45" s="2"/>
      <c r="L45" s="2"/>
      <c r="M45" s="2"/>
      <c r="N45" s="2"/>
      <c r="O45" s="2"/>
      <c r="P45" s="2"/>
      <c r="Q45" s="2"/>
      <c r="R45" s="2"/>
      <c r="S45" s="2"/>
      <c r="T45" s="2"/>
      <c r="U45" s="2"/>
      <c r="V45" s="2"/>
      <c r="W45" s="2"/>
      <c r="X45" s="2"/>
    </row>
    <row r="46" ht="15.75" customHeight="1">
      <c r="A46" s="2"/>
      <c r="B46" s="2"/>
      <c r="C46" s="2"/>
      <c r="D46" s="2"/>
      <c r="E46" s="2"/>
      <c r="F46" s="2"/>
      <c r="G46" s="2"/>
      <c r="H46" s="2"/>
      <c r="I46" s="2"/>
      <c r="J46" s="2"/>
      <c r="K46" s="2"/>
      <c r="L46" s="2"/>
      <c r="M46" s="2"/>
      <c r="N46" s="2"/>
      <c r="O46" s="2"/>
      <c r="P46" s="2"/>
      <c r="Q46" s="2"/>
      <c r="R46" s="2"/>
      <c r="S46" s="2"/>
      <c r="T46" s="2"/>
      <c r="U46" s="2"/>
      <c r="V46" s="2"/>
      <c r="W46" s="2"/>
      <c r="X46" s="2"/>
    </row>
    <row r="47" ht="15.75" customHeight="1">
      <c r="A47" s="2"/>
      <c r="B47" s="2"/>
      <c r="C47" s="2"/>
      <c r="D47" s="2"/>
      <c r="E47" s="2"/>
      <c r="F47" s="2"/>
      <c r="G47" s="2"/>
      <c r="H47" s="2"/>
      <c r="I47" s="2"/>
      <c r="J47" s="2"/>
      <c r="K47" s="2"/>
      <c r="L47" s="2"/>
      <c r="M47" s="2"/>
      <c r="N47" s="2"/>
      <c r="O47" s="2"/>
      <c r="P47" s="2"/>
      <c r="Q47" s="2"/>
      <c r="R47" s="2"/>
      <c r="S47" s="2"/>
      <c r="T47" s="2"/>
      <c r="U47" s="2"/>
      <c r="V47" s="2"/>
      <c r="W47" s="2"/>
      <c r="X47" s="2"/>
    </row>
    <row r="48" ht="15.75" customHeight="1">
      <c r="A48" s="2"/>
      <c r="B48" s="2"/>
      <c r="C48" s="2"/>
      <c r="D48" s="2"/>
      <c r="E48" s="2"/>
      <c r="F48" s="2"/>
      <c r="G48" s="2"/>
      <c r="H48" s="2"/>
      <c r="I48" s="2"/>
      <c r="J48" s="2"/>
      <c r="K48" s="2"/>
      <c r="L48" s="2"/>
      <c r="M48" s="2"/>
      <c r="N48" s="2"/>
      <c r="O48" s="2"/>
      <c r="P48" s="2"/>
      <c r="Q48" s="2"/>
      <c r="R48" s="2"/>
      <c r="S48" s="2"/>
      <c r="T48" s="2"/>
      <c r="U48" s="2"/>
      <c r="V48" s="2"/>
      <c r="W48" s="2"/>
      <c r="X48" s="2"/>
    </row>
    <row r="49" ht="15.75" customHeight="1">
      <c r="A49" s="2"/>
      <c r="B49" s="2"/>
      <c r="C49" s="2"/>
      <c r="D49" s="2"/>
      <c r="E49" s="2"/>
      <c r="F49" s="2"/>
      <c r="G49" s="2"/>
      <c r="H49" s="2"/>
      <c r="I49" s="2"/>
      <c r="J49" s="2"/>
      <c r="K49" s="2"/>
      <c r="L49" s="2"/>
      <c r="M49" s="2"/>
      <c r="N49" s="2"/>
      <c r="O49" s="2"/>
      <c r="P49" s="2"/>
      <c r="Q49" s="2"/>
      <c r="R49" s="2"/>
      <c r="S49" s="2"/>
      <c r="T49" s="2"/>
      <c r="U49" s="2"/>
      <c r="V49" s="2"/>
      <c r="W49" s="2"/>
      <c r="X49" s="2"/>
    </row>
    <row r="50" ht="15.75" customHeight="1">
      <c r="A50" s="2"/>
      <c r="B50" s="2"/>
      <c r="C50" s="2"/>
      <c r="D50" s="2"/>
      <c r="E50" s="2"/>
      <c r="F50" s="2"/>
      <c r="G50" s="2"/>
      <c r="H50" s="2"/>
      <c r="I50" s="2"/>
      <c r="J50" s="2"/>
      <c r="K50" s="2"/>
      <c r="L50" s="2"/>
      <c r="M50" s="2"/>
      <c r="N50" s="2"/>
      <c r="O50" s="2"/>
      <c r="P50" s="2"/>
      <c r="Q50" s="2"/>
      <c r="R50" s="2"/>
      <c r="S50" s="2"/>
      <c r="T50" s="2"/>
      <c r="U50" s="2"/>
      <c r="V50" s="2"/>
      <c r="W50" s="2"/>
      <c r="X50" s="2"/>
    </row>
    <row r="51" ht="15.75" customHeight="1">
      <c r="A51" s="2"/>
      <c r="B51" s="2"/>
      <c r="C51" s="2"/>
      <c r="D51" s="2"/>
      <c r="E51" s="2"/>
      <c r="F51" s="2"/>
      <c r="G51" s="2"/>
      <c r="H51" s="2"/>
      <c r="I51" s="2"/>
      <c r="J51" s="2"/>
      <c r="K51" s="2"/>
      <c r="L51" s="2"/>
      <c r="M51" s="2"/>
      <c r="N51" s="2"/>
      <c r="O51" s="2"/>
      <c r="P51" s="2"/>
      <c r="Q51" s="2"/>
      <c r="R51" s="2"/>
      <c r="S51" s="2"/>
      <c r="T51" s="2"/>
      <c r="U51" s="2"/>
      <c r="V51" s="2"/>
      <c r="W51" s="2"/>
      <c r="X51" s="2"/>
    </row>
    <row r="52" ht="15.75" customHeight="1">
      <c r="A52" s="2"/>
      <c r="B52" s="2"/>
      <c r="C52" s="2"/>
      <c r="D52" s="2"/>
      <c r="E52" s="2"/>
      <c r="F52" s="2"/>
      <c r="G52" s="2"/>
      <c r="H52" s="2"/>
      <c r="I52" s="2"/>
      <c r="J52" s="2"/>
      <c r="K52" s="2"/>
      <c r="L52" s="2"/>
      <c r="M52" s="2"/>
      <c r="N52" s="2"/>
      <c r="O52" s="2"/>
      <c r="P52" s="2"/>
      <c r="Q52" s="2"/>
      <c r="R52" s="2"/>
      <c r="S52" s="2"/>
      <c r="T52" s="2"/>
      <c r="U52" s="2"/>
      <c r="V52" s="2"/>
      <c r="W52" s="2"/>
      <c r="X52" s="2"/>
    </row>
    <row r="53" ht="15.75" customHeight="1">
      <c r="A53" s="2"/>
      <c r="B53" s="2"/>
      <c r="C53" s="2"/>
      <c r="D53" s="2"/>
      <c r="E53" s="2"/>
      <c r="F53" s="2"/>
      <c r="G53" s="2"/>
      <c r="H53" s="2"/>
      <c r="I53" s="2"/>
      <c r="J53" s="2"/>
      <c r="K53" s="2"/>
      <c r="L53" s="2"/>
      <c r="M53" s="2"/>
      <c r="N53" s="2"/>
      <c r="O53" s="2"/>
      <c r="P53" s="2"/>
      <c r="Q53" s="2"/>
      <c r="R53" s="2"/>
      <c r="S53" s="2"/>
      <c r="T53" s="2"/>
      <c r="U53" s="2"/>
      <c r="V53" s="2"/>
      <c r="W53" s="2"/>
      <c r="X53" s="2"/>
    </row>
    <row r="54" ht="15.75" customHeight="1">
      <c r="A54" s="2"/>
      <c r="B54" s="2"/>
      <c r="C54" s="2"/>
      <c r="D54" s="2"/>
      <c r="E54" s="2"/>
      <c r="F54" s="2"/>
      <c r="G54" s="2"/>
      <c r="H54" s="2"/>
      <c r="I54" s="2"/>
      <c r="J54" s="2"/>
      <c r="K54" s="2"/>
      <c r="L54" s="2"/>
      <c r="M54" s="2"/>
      <c r="N54" s="2"/>
      <c r="O54" s="2"/>
      <c r="P54" s="2"/>
      <c r="Q54" s="2"/>
      <c r="R54" s="2"/>
      <c r="S54" s="2"/>
      <c r="T54" s="2"/>
      <c r="U54" s="2"/>
      <c r="V54" s="2"/>
      <c r="W54" s="2"/>
      <c r="X54" s="2"/>
    </row>
    <row r="55" ht="15.75" customHeight="1">
      <c r="A55" s="2"/>
      <c r="B55" s="2"/>
      <c r="C55" s="2"/>
      <c r="D55" s="2"/>
      <c r="E55" s="2"/>
      <c r="F55" s="2"/>
      <c r="G55" s="2"/>
      <c r="H55" s="2"/>
      <c r="I55" s="2"/>
      <c r="J55" s="2"/>
      <c r="K55" s="2"/>
      <c r="L55" s="2"/>
      <c r="M55" s="2"/>
      <c r="N55" s="2"/>
      <c r="O55" s="2"/>
      <c r="P55" s="2"/>
      <c r="Q55" s="2"/>
      <c r="R55" s="2"/>
      <c r="S55" s="2"/>
      <c r="T55" s="2"/>
      <c r="U55" s="2"/>
      <c r="V55" s="2"/>
      <c r="W55" s="2"/>
      <c r="X55" s="2"/>
    </row>
    <row r="56" ht="15.75" customHeight="1">
      <c r="A56" s="2"/>
      <c r="B56" s="2"/>
      <c r="C56" s="2"/>
      <c r="D56" s="2"/>
      <c r="E56" s="2"/>
      <c r="F56" s="2"/>
      <c r="G56" s="2"/>
      <c r="H56" s="2"/>
      <c r="I56" s="2"/>
      <c r="J56" s="2"/>
      <c r="K56" s="2"/>
      <c r="L56" s="2"/>
      <c r="M56" s="2"/>
      <c r="N56" s="2"/>
      <c r="O56" s="2"/>
      <c r="P56" s="2"/>
      <c r="Q56" s="2"/>
      <c r="R56" s="2"/>
      <c r="S56" s="2"/>
      <c r="T56" s="2"/>
      <c r="U56" s="2"/>
      <c r="V56" s="2"/>
      <c r="W56" s="2"/>
      <c r="X56" s="2"/>
    </row>
    <row r="57" ht="15.75" customHeight="1">
      <c r="A57" s="2"/>
      <c r="B57" s="2"/>
      <c r="C57" s="2"/>
      <c r="D57" s="2"/>
      <c r="E57" s="2"/>
      <c r="F57" s="2"/>
      <c r="G57" s="2"/>
      <c r="H57" s="2"/>
      <c r="I57" s="2"/>
      <c r="J57" s="2"/>
      <c r="K57" s="2"/>
      <c r="L57" s="2"/>
      <c r="M57" s="2"/>
      <c r="N57" s="2"/>
      <c r="O57" s="2"/>
      <c r="P57" s="2"/>
      <c r="Q57" s="2"/>
      <c r="R57" s="2"/>
      <c r="S57" s="2"/>
      <c r="T57" s="2"/>
      <c r="U57" s="2"/>
      <c r="V57" s="2"/>
      <c r="W57" s="2"/>
      <c r="X57" s="2"/>
    </row>
    <row r="58" ht="15.75" customHeight="1">
      <c r="A58" s="2"/>
      <c r="B58" s="2"/>
      <c r="C58" s="2"/>
      <c r="D58" s="2"/>
      <c r="E58" s="2"/>
      <c r="F58" s="2"/>
      <c r="G58" s="2"/>
      <c r="H58" s="2"/>
      <c r="I58" s="2"/>
      <c r="J58" s="2"/>
      <c r="K58" s="2"/>
      <c r="L58" s="2"/>
      <c r="M58" s="2"/>
      <c r="N58" s="2"/>
      <c r="O58" s="2"/>
      <c r="P58" s="2"/>
      <c r="Q58" s="2"/>
      <c r="R58" s="2"/>
      <c r="S58" s="2"/>
      <c r="T58" s="2"/>
      <c r="U58" s="2"/>
      <c r="V58" s="2"/>
      <c r="W58" s="2"/>
      <c r="X58" s="2"/>
    </row>
    <row r="59" ht="15.75" customHeight="1">
      <c r="A59" s="2"/>
      <c r="B59" s="2"/>
      <c r="C59" s="2"/>
      <c r="D59" s="2"/>
      <c r="E59" s="2"/>
      <c r="F59" s="2"/>
      <c r="G59" s="2"/>
      <c r="H59" s="2"/>
      <c r="I59" s="2"/>
      <c r="J59" s="2"/>
      <c r="K59" s="2"/>
      <c r="L59" s="2"/>
      <c r="M59" s="2"/>
      <c r="N59" s="2"/>
      <c r="O59" s="2"/>
      <c r="P59" s="2"/>
      <c r="Q59" s="2"/>
      <c r="R59" s="2"/>
      <c r="S59" s="2"/>
      <c r="T59" s="2"/>
      <c r="U59" s="2"/>
      <c r="V59" s="2"/>
      <c r="W59" s="2"/>
      <c r="X59" s="2"/>
    </row>
    <row r="60" ht="15.75" customHeight="1">
      <c r="A60" s="2"/>
      <c r="B60" s="2"/>
      <c r="C60" s="2"/>
      <c r="D60" s="2"/>
      <c r="E60" s="2"/>
      <c r="F60" s="2"/>
      <c r="G60" s="2"/>
      <c r="H60" s="2"/>
      <c r="I60" s="2"/>
      <c r="J60" s="2"/>
      <c r="K60" s="2"/>
      <c r="L60" s="2"/>
      <c r="M60" s="2"/>
      <c r="N60" s="2"/>
      <c r="O60" s="2"/>
      <c r="P60" s="2"/>
      <c r="Q60" s="2"/>
      <c r="R60" s="2"/>
      <c r="S60" s="2"/>
      <c r="T60" s="2"/>
      <c r="U60" s="2"/>
      <c r="V60" s="2"/>
      <c r="W60" s="2"/>
      <c r="X60" s="2"/>
    </row>
    <row r="61" ht="15.75" customHeight="1">
      <c r="A61" s="2"/>
      <c r="B61" s="2"/>
      <c r="C61" s="2"/>
      <c r="D61" s="2"/>
      <c r="E61" s="2"/>
      <c r="F61" s="2"/>
      <c r="G61" s="2"/>
      <c r="H61" s="2"/>
      <c r="I61" s="2"/>
      <c r="J61" s="2"/>
      <c r="K61" s="2"/>
      <c r="L61" s="2"/>
      <c r="M61" s="2"/>
      <c r="N61" s="2"/>
      <c r="O61" s="2"/>
      <c r="P61" s="2"/>
      <c r="Q61" s="2"/>
      <c r="R61" s="2"/>
      <c r="S61" s="2"/>
      <c r="T61" s="2"/>
      <c r="U61" s="2"/>
      <c r="V61" s="2"/>
      <c r="W61" s="2"/>
      <c r="X61" s="2"/>
    </row>
    <row r="62" ht="15.75" customHeight="1">
      <c r="A62" s="2"/>
      <c r="B62" s="2"/>
      <c r="C62" s="2"/>
      <c r="D62" s="2"/>
      <c r="E62" s="2"/>
      <c r="F62" s="2"/>
      <c r="G62" s="2"/>
      <c r="H62" s="2"/>
      <c r="I62" s="2"/>
      <c r="J62" s="2"/>
      <c r="K62" s="2"/>
      <c r="L62" s="2"/>
      <c r="M62" s="2"/>
      <c r="N62" s="2"/>
      <c r="O62" s="2"/>
      <c r="P62" s="2"/>
      <c r="Q62" s="2"/>
      <c r="R62" s="2"/>
      <c r="S62" s="2"/>
      <c r="T62" s="2"/>
      <c r="U62" s="2"/>
      <c r="V62" s="2"/>
      <c r="W62" s="2"/>
      <c r="X62" s="2"/>
    </row>
    <row r="63" ht="15.75" customHeight="1">
      <c r="A63" s="2"/>
      <c r="B63" s="2"/>
      <c r="C63" s="2"/>
      <c r="D63" s="2"/>
      <c r="E63" s="2"/>
      <c r="F63" s="2"/>
      <c r="G63" s="2"/>
      <c r="H63" s="2"/>
      <c r="I63" s="2"/>
      <c r="J63" s="2"/>
      <c r="K63" s="2"/>
      <c r="L63" s="2"/>
      <c r="M63" s="2"/>
      <c r="N63" s="2"/>
      <c r="O63" s="2"/>
      <c r="P63" s="2"/>
      <c r="Q63" s="2"/>
      <c r="R63" s="2"/>
      <c r="S63" s="2"/>
      <c r="T63" s="2"/>
      <c r="U63" s="2"/>
      <c r="V63" s="2"/>
      <c r="W63" s="2"/>
      <c r="X63" s="2"/>
    </row>
    <row r="64" ht="15.75" customHeight="1">
      <c r="A64" s="2"/>
      <c r="B64" s="2"/>
      <c r="C64" s="2"/>
      <c r="D64" s="2"/>
      <c r="E64" s="2"/>
      <c r="F64" s="2"/>
      <c r="G64" s="2"/>
      <c r="H64" s="2"/>
      <c r="I64" s="2"/>
      <c r="J64" s="2"/>
      <c r="K64" s="2"/>
      <c r="L64" s="2"/>
      <c r="M64" s="2"/>
      <c r="N64" s="2"/>
      <c r="O64" s="2"/>
      <c r="P64" s="2"/>
      <c r="Q64" s="2"/>
      <c r="R64" s="2"/>
      <c r="S64" s="2"/>
      <c r="T64" s="2"/>
      <c r="U64" s="2"/>
      <c r="V64" s="2"/>
      <c r="W64" s="2"/>
      <c r="X64" s="2"/>
    </row>
    <row r="65" ht="15.75" customHeight="1">
      <c r="A65" s="2"/>
      <c r="B65" s="2"/>
      <c r="C65" s="2"/>
      <c r="D65" s="2"/>
      <c r="E65" s="2"/>
      <c r="F65" s="2"/>
      <c r="G65" s="2"/>
      <c r="H65" s="2"/>
      <c r="I65" s="2"/>
      <c r="J65" s="2"/>
      <c r="K65" s="2"/>
      <c r="L65" s="2"/>
      <c r="M65" s="2"/>
      <c r="N65" s="2"/>
      <c r="O65" s="2"/>
      <c r="P65" s="2"/>
      <c r="Q65" s="2"/>
      <c r="R65" s="2"/>
      <c r="S65" s="2"/>
      <c r="T65" s="2"/>
      <c r="U65" s="2"/>
      <c r="V65" s="2"/>
      <c r="W65" s="2"/>
      <c r="X65" s="2"/>
    </row>
    <row r="66" ht="15.75" customHeight="1">
      <c r="A66" s="2"/>
      <c r="B66" s="2"/>
      <c r="C66" s="2"/>
      <c r="D66" s="2"/>
      <c r="E66" s="2"/>
      <c r="F66" s="2"/>
      <c r="G66" s="2"/>
      <c r="H66" s="2"/>
      <c r="I66" s="2"/>
      <c r="J66" s="2"/>
      <c r="K66" s="2"/>
      <c r="L66" s="2"/>
      <c r="M66" s="2"/>
      <c r="N66" s="2"/>
      <c r="O66" s="2"/>
      <c r="P66" s="2"/>
      <c r="Q66" s="2"/>
      <c r="R66" s="2"/>
      <c r="S66" s="2"/>
      <c r="T66" s="2"/>
      <c r="U66" s="2"/>
      <c r="V66" s="2"/>
      <c r="W66" s="2"/>
      <c r="X66" s="2"/>
    </row>
    <row r="67" ht="15.75" customHeight="1">
      <c r="A67" s="2"/>
      <c r="B67" s="2"/>
      <c r="C67" s="2"/>
      <c r="D67" s="2"/>
      <c r="E67" s="2"/>
      <c r="F67" s="2"/>
      <c r="G67" s="2"/>
      <c r="H67" s="2"/>
      <c r="I67" s="2"/>
      <c r="J67" s="2"/>
      <c r="K67" s="2"/>
      <c r="L67" s="2"/>
      <c r="M67" s="2"/>
      <c r="N67" s="2"/>
      <c r="O67" s="2"/>
      <c r="P67" s="2"/>
      <c r="Q67" s="2"/>
      <c r="R67" s="2"/>
      <c r="S67" s="2"/>
      <c r="T67" s="2"/>
      <c r="U67" s="2"/>
      <c r="V67" s="2"/>
      <c r="W67" s="2"/>
      <c r="X67" s="2"/>
    </row>
    <row r="68" ht="15.75" customHeight="1">
      <c r="A68" s="2"/>
      <c r="B68" s="2"/>
      <c r="C68" s="2"/>
      <c r="D68" s="2"/>
      <c r="E68" s="2"/>
      <c r="F68" s="2"/>
      <c r="G68" s="2"/>
      <c r="H68" s="2"/>
      <c r="I68" s="2"/>
      <c r="J68" s="2"/>
      <c r="K68" s="2"/>
      <c r="L68" s="2"/>
      <c r="M68" s="2"/>
      <c r="N68" s="2"/>
      <c r="O68" s="2"/>
      <c r="P68" s="2"/>
      <c r="Q68" s="2"/>
      <c r="R68" s="2"/>
      <c r="S68" s="2"/>
      <c r="T68" s="2"/>
      <c r="U68" s="2"/>
      <c r="V68" s="2"/>
      <c r="W68" s="2"/>
      <c r="X68" s="2"/>
    </row>
    <row r="69" ht="15.75" customHeight="1">
      <c r="A69" s="2"/>
      <c r="B69" s="2"/>
      <c r="C69" s="2"/>
      <c r="D69" s="2"/>
      <c r="E69" s="2"/>
      <c r="F69" s="2"/>
      <c r="G69" s="2"/>
      <c r="H69" s="2"/>
      <c r="I69" s="2"/>
      <c r="J69" s="2"/>
      <c r="K69" s="2"/>
      <c r="L69" s="2"/>
      <c r="M69" s="2"/>
      <c r="N69" s="2"/>
      <c r="O69" s="2"/>
      <c r="P69" s="2"/>
      <c r="Q69" s="2"/>
      <c r="R69" s="2"/>
      <c r="S69" s="2"/>
      <c r="T69" s="2"/>
      <c r="U69" s="2"/>
      <c r="V69" s="2"/>
      <c r="W69" s="2"/>
      <c r="X69" s="2"/>
    </row>
    <row r="70" ht="15.75" customHeight="1">
      <c r="A70" s="2"/>
      <c r="B70" s="2"/>
      <c r="C70" s="2"/>
      <c r="D70" s="2"/>
      <c r="E70" s="2"/>
      <c r="F70" s="2"/>
      <c r="G70" s="2"/>
      <c r="H70" s="2"/>
      <c r="I70" s="2"/>
      <c r="J70" s="2"/>
      <c r="K70" s="2"/>
      <c r="L70" s="2"/>
      <c r="M70" s="2"/>
      <c r="N70" s="2"/>
      <c r="O70" s="2"/>
      <c r="P70" s="2"/>
      <c r="Q70" s="2"/>
      <c r="R70" s="2"/>
      <c r="S70" s="2"/>
      <c r="T70" s="2"/>
      <c r="U70" s="2"/>
      <c r="V70" s="2"/>
      <c r="W70" s="2"/>
      <c r="X70" s="2"/>
    </row>
    <row r="71" ht="15.75" customHeight="1">
      <c r="A71" s="2"/>
      <c r="B71" s="2"/>
      <c r="C71" s="2"/>
      <c r="D71" s="2"/>
      <c r="E71" s="2"/>
      <c r="F71" s="2"/>
      <c r="G71" s="2"/>
      <c r="H71" s="2"/>
      <c r="I71" s="2"/>
      <c r="J71" s="2"/>
      <c r="K71" s="2"/>
      <c r="L71" s="2"/>
      <c r="M71" s="2"/>
      <c r="N71" s="2"/>
      <c r="O71" s="2"/>
      <c r="P71" s="2"/>
      <c r="Q71" s="2"/>
      <c r="R71" s="2"/>
      <c r="S71" s="2"/>
      <c r="T71" s="2"/>
      <c r="U71" s="2"/>
      <c r="V71" s="2"/>
      <c r="W71" s="2"/>
      <c r="X71" s="2"/>
    </row>
    <row r="72" ht="15.75" customHeight="1">
      <c r="A72" s="2"/>
      <c r="B72" s="2"/>
      <c r="C72" s="2"/>
      <c r="D72" s="2"/>
      <c r="E72" s="2"/>
      <c r="F72" s="2"/>
      <c r="G72" s="2"/>
      <c r="H72" s="2"/>
      <c r="I72" s="2"/>
      <c r="J72" s="2"/>
      <c r="K72" s="2"/>
      <c r="L72" s="2"/>
      <c r="M72" s="2"/>
      <c r="N72" s="2"/>
      <c r="O72" s="2"/>
      <c r="P72" s="2"/>
      <c r="Q72" s="2"/>
      <c r="R72" s="2"/>
      <c r="S72" s="2"/>
      <c r="T72" s="2"/>
      <c r="U72" s="2"/>
      <c r="V72" s="2"/>
      <c r="W72" s="2"/>
      <c r="X72" s="2"/>
    </row>
    <row r="73" ht="15.75" customHeight="1">
      <c r="A73" s="2"/>
      <c r="B73" s="2"/>
      <c r="C73" s="2"/>
      <c r="D73" s="2"/>
      <c r="E73" s="2"/>
      <c r="F73" s="2"/>
      <c r="G73" s="2"/>
      <c r="H73" s="2"/>
      <c r="I73" s="2"/>
      <c r="J73" s="2"/>
      <c r="K73" s="2"/>
      <c r="L73" s="2"/>
      <c r="M73" s="2"/>
      <c r="N73" s="2"/>
      <c r="O73" s="2"/>
      <c r="P73" s="2"/>
      <c r="Q73" s="2"/>
      <c r="R73" s="2"/>
      <c r="S73" s="2"/>
      <c r="T73" s="2"/>
      <c r="U73" s="2"/>
      <c r="V73" s="2"/>
      <c r="W73" s="2"/>
      <c r="X73" s="2"/>
    </row>
    <row r="74" ht="15.75" customHeight="1">
      <c r="A74" s="2"/>
      <c r="B74" s="2"/>
      <c r="C74" s="2"/>
      <c r="D74" s="2"/>
      <c r="E74" s="2"/>
      <c r="F74" s="2"/>
      <c r="G74" s="2"/>
      <c r="H74" s="2"/>
      <c r="I74" s="2"/>
      <c r="J74" s="2"/>
      <c r="K74" s="2"/>
      <c r="L74" s="2"/>
      <c r="M74" s="2"/>
      <c r="N74" s="2"/>
      <c r="O74" s="2"/>
      <c r="P74" s="2"/>
      <c r="Q74" s="2"/>
      <c r="R74" s="2"/>
      <c r="S74" s="2"/>
      <c r="T74" s="2"/>
      <c r="U74" s="2"/>
      <c r="V74" s="2"/>
      <c r="W74" s="2"/>
      <c r="X74" s="2"/>
    </row>
    <row r="75" ht="15.75" customHeight="1">
      <c r="A75" s="2"/>
      <c r="B75" s="2"/>
      <c r="C75" s="2"/>
      <c r="D75" s="2"/>
      <c r="E75" s="2"/>
      <c r="F75" s="2"/>
      <c r="G75" s="2"/>
      <c r="H75" s="2"/>
      <c r="I75" s="2"/>
      <c r="J75" s="2"/>
      <c r="K75" s="2"/>
      <c r="L75" s="2"/>
      <c r="M75" s="2"/>
      <c r="N75" s="2"/>
      <c r="O75" s="2"/>
      <c r="P75" s="2"/>
      <c r="Q75" s="2"/>
      <c r="R75" s="2"/>
      <c r="S75" s="2"/>
      <c r="T75" s="2"/>
      <c r="U75" s="2"/>
      <c r="V75" s="2"/>
      <c r="W75" s="2"/>
      <c r="X75" s="2"/>
    </row>
    <row r="76" ht="15.75" customHeight="1">
      <c r="A76" s="2"/>
      <c r="B76" s="2"/>
      <c r="C76" s="2"/>
      <c r="D76" s="2"/>
      <c r="E76" s="2"/>
      <c r="F76" s="2"/>
      <c r="G76" s="2"/>
      <c r="H76" s="2"/>
      <c r="I76" s="2"/>
      <c r="J76" s="2"/>
      <c r="K76" s="2"/>
      <c r="L76" s="2"/>
      <c r="M76" s="2"/>
      <c r="N76" s="2"/>
      <c r="O76" s="2"/>
      <c r="P76" s="2"/>
      <c r="Q76" s="2"/>
      <c r="R76" s="2"/>
      <c r="S76" s="2"/>
      <c r="T76" s="2"/>
      <c r="U76" s="2"/>
      <c r="V76" s="2"/>
      <c r="W76" s="2"/>
      <c r="X76" s="2"/>
    </row>
    <row r="77" ht="15.75" customHeight="1">
      <c r="A77" s="2"/>
      <c r="B77" s="2"/>
      <c r="C77" s="2"/>
      <c r="D77" s="2"/>
      <c r="E77" s="2"/>
      <c r="F77" s="2"/>
      <c r="G77" s="2"/>
      <c r="H77" s="2"/>
      <c r="I77" s="2"/>
      <c r="J77" s="2"/>
      <c r="K77" s="2"/>
      <c r="L77" s="2"/>
      <c r="M77" s="2"/>
      <c r="N77" s="2"/>
      <c r="O77" s="2"/>
      <c r="P77" s="2"/>
      <c r="Q77" s="2"/>
      <c r="R77" s="2"/>
      <c r="S77" s="2"/>
      <c r="T77" s="2"/>
      <c r="U77" s="2"/>
      <c r="V77" s="2"/>
      <c r="W77" s="2"/>
      <c r="X77" s="2"/>
    </row>
    <row r="78" ht="15.75" customHeight="1">
      <c r="A78" s="2"/>
      <c r="B78" s="2"/>
      <c r="C78" s="2"/>
      <c r="D78" s="2"/>
      <c r="E78" s="2"/>
      <c r="F78" s="2"/>
      <c r="G78" s="2"/>
      <c r="H78" s="2"/>
      <c r="I78" s="2"/>
      <c r="J78" s="2"/>
      <c r="K78" s="2"/>
      <c r="L78" s="2"/>
      <c r="M78" s="2"/>
      <c r="N78" s="2"/>
      <c r="O78" s="2"/>
      <c r="P78" s="2"/>
      <c r="Q78" s="2"/>
      <c r="R78" s="2"/>
      <c r="S78" s="2"/>
      <c r="T78" s="2"/>
      <c r="U78" s="2"/>
      <c r="V78" s="2"/>
      <c r="W78" s="2"/>
      <c r="X78" s="2"/>
    </row>
    <row r="79" ht="15.75" customHeight="1">
      <c r="A79" s="2"/>
      <c r="B79" s="2"/>
      <c r="C79" s="2"/>
      <c r="D79" s="2"/>
      <c r="E79" s="2"/>
      <c r="F79" s="2"/>
      <c r="G79" s="2"/>
      <c r="H79" s="2"/>
      <c r="I79" s="2"/>
      <c r="J79" s="2"/>
      <c r="K79" s="2"/>
      <c r="L79" s="2"/>
      <c r="M79" s="2"/>
      <c r="N79" s="2"/>
      <c r="O79" s="2"/>
      <c r="P79" s="2"/>
      <c r="Q79" s="2"/>
      <c r="R79" s="2"/>
      <c r="S79" s="2"/>
      <c r="T79" s="2"/>
      <c r="U79" s="2"/>
      <c r="V79" s="2"/>
      <c r="W79" s="2"/>
      <c r="X79" s="2"/>
    </row>
    <row r="80" ht="15.75" customHeight="1">
      <c r="A80" s="2"/>
      <c r="B80" s="2"/>
      <c r="C80" s="2"/>
      <c r="D80" s="2"/>
      <c r="E80" s="2"/>
      <c r="F80" s="2"/>
      <c r="G80" s="2"/>
      <c r="H80" s="2"/>
      <c r="I80" s="2"/>
      <c r="J80" s="2"/>
      <c r="K80" s="2"/>
      <c r="L80" s="2"/>
      <c r="M80" s="2"/>
      <c r="N80" s="2"/>
      <c r="O80" s="2"/>
      <c r="P80" s="2"/>
      <c r="Q80" s="2"/>
      <c r="R80" s="2"/>
      <c r="S80" s="2"/>
      <c r="T80" s="2"/>
      <c r="U80" s="2"/>
      <c r="V80" s="2"/>
      <c r="W80" s="2"/>
      <c r="X80" s="2"/>
    </row>
    <row r="81" ht="15.75" customHeight="1">
      <c r="A81" s="2"/>
      <c r="B81" s="2"/>
      <c r="C81" s="2"/>
      <c r="D81" s="2"/>
      <c r="E81" s="2"/>
      <c r="F81" s="2"/>
      <c r="G81" s="2"/>
      <c r="H81" s="2"/>
      <c r="I81" s="2"/>
      <c r="J81" s="2"/>
      <c r="K81" s="2"/>
      <c r="L81" s="2"/>
      <c r="M81" s="2"/>
      <c r="N81" s="2"/>
      <c r="O81" s="2"/>
      <c r="P81" s="2"/>
      <c r="Q81" s="2"/>
      <c r="R81" s="2"/>
      <c r="S81" s="2"/>
      <c r="T81" s="2"/>
      <c r="U81" s="2"/>
      <c r="V81" s="2"/>
      <c r="W81" s="2"/>
      <c r="X81" s="2"/>
    </row>
    <row r="82" ht="15.75" customHeight="1">
      <c r="A82" s="2"/>
      <c r="B82" s="2"/>
      <c r="C82" s="2"/>
      <c r="D82" s="2"/>
      <c r="E82" s="2"/>
      <c r="F82" s="2"/>
      <c r="G82" s="2"/>
      <c r="H82" s="2"/>
      <c r="I82" s="2"/>
      <c r="J82" s="2"/>
      <c r="K82" s="2"/>
      <c r="L82" s="2"/>
      <c r="M82" s="2"/>
      <c r="N82" s="2"/>
      <c r="O82" s="2"/>
      <c r="P82" s="2"/>
      <c r="Q82" s="2"/>
      <c r="R82" s="2"/>
      <c r="S82" s="2"/>
      <c r="T82" s="2"/>
      <c r="U82" s="2"/>
      <c r="V82" s="2"/>
      <c r="W82" s="2"/>
      <c r="X82" s="2"/>
    </row>
    <row r="83" ht="15.75" customHeight="1">
      <c r="A83" s="2"/>
      <c r="B83" s="2"/>
      <c r="C83" s="2"/>
      <c r="D83" s="2"/>
      <c r="E83" s="2"/>
      <c r="F83" s="2"/>
      <c r="G83" s="2"/>
      <c r="H83" s="2"/>
      <c r="I83" s="2"/>
      <c r="J83" s="2"/>
      <c r="K83" s="2"/>
      <c r="L83" s="2"/>
      <c r="M83" s="2"/>
      <c r="N83" s="2"/>
      <c r="O83" s="2"/>
      <c r="P83" s="2"/>
      <c r="Q83" s="2"/>
      <c r="R83" s="2"/>
      <c r="S83" s="2"/>
      <c r="T83" s="2"/>
      <c r="U83" s="2"/>
      <c r="V83" s="2"/>
      <c r="W83" s="2"/>
      <c r="X83" s="2"/>
    </row>
    <row r="84" ht="15.75" customHeight="1">
      <c r="A84" s="2"/>
      <c r="B84" s="2"/>
      <c r="C84" s="2"/>
      <c r="D84" s="2"/>
      <c r="E84" s="2"/>
      <c r="F84" s="2"/>
      <c r="G84" s="2"/>
      <c r="H84" s="2"/>
      <c r="I84" s="2"/>
      <c r="J84" s="2"/>
      <c r="K84" s="2"/>
      <c r="L84" s="2"/>
      <c r="M84" s="2"/>
      <c r="N84" s="2"/>
      <c r="O84" s="2"/>
      <c r="P84" s="2"/>
      <c r="Q84" s="2"/>
      <c r="R84" s="2"/>
      <c r="S84" s="2"/>
      <c r="T84" s="2"/>
      <c r="U84" s="2"/>
      <c r="V84" s="2"/>
      <c r="W84" s="2"/>
      <c r="X84" s="2"/>
    </row>
    <row r="85" ht="15.75" customHeight="1">
      <c r="A85" s="2"/>
      <c r="B85" s="2"/>
      <c r="C85" s="2"/>
      <c r="D85" s="2"/>
      <c r="E85" s="2"/>
      <c r="F85" s="2"/>
      <c r="G85" s="2"/>
      <c r="H85" s="2"/>
      <c r="I85" s="2"/>
      <c r="J85" s="2"/>
      <c r="K85" s="2"/>
      <c r="L85" s="2"/>
      <c r="M85" s="2"/>
      <c r="N85" s="2"/>
      <c r="O85" s="2"/>
      <c r="P85" s="2"/>
      <c r="Q85" s="2"/>
      <c r="R85" s="2"/>
      <c r="S85" s="2"/>
      <c r="T85" s="2"/>
      <c r="U85" s="2"/>
      <c r="V85" s="2"/>
      <c r="W85" s="2"/>
      <c r="X85" s="2"/>
    </row>
    <row r="86" ht="15.75" customHeight="1">
      <c r="A86" s="2"/>
      <c r="B86" s="2"/>
      <c r="C86" s="2"/>
      <c r="D86" s="2"/>
      <c r="E86" s="2"/>
      <c r="F86" s="2"/>
      <c r="G86" s="2"/>
      <c r="H86" s="2"/>
      <c r="I86" s="2"/>
      <c r="J86" s="2"/>
      <c r="K86" s="2"/>
      <c r="L86" s="2"/>
      <c r="M86" s="2"/>
      <c r="N86" s="2"/>
      <c r="O86" s="2"/>
      <c r="P86" s="2"/>
      <c r="Q86" s="2"/>
      <c r="R86" s="2"/>
      <c r="S86" s="2"/>
      <c r="T86" s="2"/>
      <c r="U86" s="2"/>
      <c r="V86" s="2"/>
      <c r="W86" s="2"/>
      <c r="X86" s="2"/>
    </row>
    <row r="87" ht="15.75" customHeight="1">
      <c r="A87" s="2"/>
      <c r="B87" s="2"/>
      <c r="C87" s="2"/>
      <c r="D87" s="2"/>
      <c r="E87" s="2"/>
      <c r="F87" s="2"/>
      <c r="G87" s="2"/>
      <c r="H87" s="2"/>
      <c r="I87" s="2"/>
      <c r="J87" s="2"/>
      <c r="K87" s="2"/>
      <c r="L87" s="2"/>
      <c r="M87" s="2"/>
      <c r="N87" s="2"/>
      <c r="O87" s="2"/>
      <c r="P87" s="2"/>
      <c r="Q87" s="2"/>
      <c r="R87" s="2"/>
      <c r="S87" s="2"/>
      <c r="T87" s="2"/>
      <c r="U87" s="2"/>
      <c r="V87" s="2"/>
      <c r="W87" s="2"/>
      <c r="X87" s="2"/>
    </row>
    <row r="88" ht="15.75" customHeight="1">
      <c r="A88" s="2"/>
      <c r="B88" s="2"/>
      <c r="C88" s="2"/>
      <c r="D88" s="2"/>
      <c r="E88" s="2"/>
      <c r="F88" s="2"/>
      <c r="G88" s="2"/>
      <c r="H88" s="2"/>
      <c r="I88" s="2"/>
      <c r="J88" s="2"/>
      <c r="K88" s="2"/>
      <c r="L88" s="2"/>
      <c r="M88" s="2"/>
      <c r="N88" s="2"/>
      <c r="O88" s="2"/>
      <c r="P88" s="2"/>
      <c r="Q88" s="2"/>
      <c r="R88" s="2"/>
      <c r="S88" s="2"/>
      <c r="T88" s="2"/>
      <c r="U88" s="2"/>
      <c r="V88" s="2"/>
      <c r="W88" s="2"/>
      <c r="X88" s="2"/>
    </row>
    <row r="89" ht="15.75" customHeight="1">
      <c r="A89" s="2"/>
      <c r="B89" s="2"/>
      <c r="C89" s="2"/>
      <c r="D89" s="2"/>
      <c r="E89" s="2"/>
      <c r="F89" s="2"/>
      <c r="G89" s="2"/>
      <c r="H89" s="2"/>
      <c r="I89" s="2"/>
      <c r="J89" s="2"/>
      <c r="K89" s="2"/>
      <c r="L89" s="2"/>
      <c r="M89" s="2"/>
      <c r="N89" s="2"/>
      <c r="O89" s="2"/>
      <c r="P89" s="2"/>
      <c r="Q89" s="2"/>
      <c r="R89" s="2"/>
      <c r="S89" s="2"/>
      <c r="T89" s="2"/>
      <c r="U89" s="2"/>
      <c r="V89" s="2"/>
      <c r="W89" s="2"/>
      <c r="X89" s="2"/>
    </row>
    <row r="90" ht="15.75" customHeight="1">
      <c r="A90" s="2"/>
      <c r="B90" s="2"/>
      <c r="C90" s="2"/>
      <c r="D90" s="2"/>
      <c r="E90" s="2"/>
      <c r="F90" s="2"/>
      <c r="G90" s="2"/>
      <c r="H90" s="2"/>
      <c r="I90" s="2"/>
      <c r="J90" s="2"/>
      <c r="K90" s="2"/>
      <c r="L90" s="2"/>
      <c r="M90" s="2"/>
      <c r="N90" s="2"/>
      <c r="O90" s="2"/>
      <c r="P90" s="2"/>
      <c r="Q90" s="2"/>
      <c r="R90" s="2"/>
      <c r="S90" s="2"/>
      <c r="T90" s="2"/>
      <c r="U90" s="2"/>
      <c r="V90" s="2"/>
      <c r="W90" s="2"/>
      <c r="X90" s="2"/>
    </row>
    <row r="91" ht="15.75" customHeight="1">
      <c r="A91" s="2"/>
      <c r="B91" s="2"/>
      <c r="C91" s="2"/>
      <c r="D91" s="2"/>
      <c r="E91" s="2"/>
      <c r="F91" s="2"/>
      <c r="G91" s="2"/>
      <c r="H91" s="2"/>
      <c r="I91" s="2"/>
      <c r="J91" s="2"/>
      <c r="K91" s="2"/>
      <c r="L91" s="2"/>
      <c r="M91" s="2"/>
      <c r="N91" s="2"/>
      <c r="O91" s="2"/>
      <c r="P91" s="2"/>
      <c r="Q91" s="2"/>
      <c r="R91" s="2"/>
      <c r="S91" s="2"/>
      <c r="T91" s="2"/>
      <c r="U91" s="2"/>
      <c r="V91" s="2"/>
      <c r="W91" s="2"/>
      <c r="X91" s="2"/>
    </row>
    <row r="92" ht="15.75" customHeight="1">
      <c r="A92" s="2"/>
      <c r="B92" s="2"/>
      <c r="C92" s="2"/>
      <c r="D92" s="2"/>
      <c r="E92" s="2"/>
      <c r="F92" s="2"/>
      <c r="G92" s="2"/>
      <c r="H92" s="2"/>
      <c r="I92" s="2"/>
      <c r="J92" s="2"/>
      <c r="K92" s="2"/>
      <c r="L92" s="2"/>
      <c r="M92" s="2"/>
      <c r="N92" s="2"/>
      <c r="O92" s="2"/>
      <c r="P92" s="2"/>
      <c r="Q92" s="2"/>
      <c r="R92" s="2"/>
      <c r="S92" s="2"/>
      <c r="T92" s="2"/>
      <c r="U92" s="2"/>
      <c r="V92" s="2"/>
      <c r="W92" s="2"/>
      <c r="X92" s="2"/>
    </row>
    <row r="93" ht="15.75" customHeight="1">
      <c r="A93" s="2"/>
      <c r="B93" s="2"/>
      <c r="C93" s="2"/>
      <c r="D93" s="2"/>
      <c r="E93" s="2"/>
      <c r="F93" s="2"/>
      <c r="G93" s="2"/>
      <c r="H93" s="2"/>
      <c r="I93" s="2"/>
      <c r="J93" s="2"/>
      <c r="K93" s="2"/>
      <c r="L93" s="2"/>
      <c r="M93" s="2"/>
      <c r="N93" s="2"/>
      <c r="O93" s="2"/>
      <c r="P93" s="2"/>
      <c r="Q93" s="2"/>
      <c r="R93" s="2"/>
      <c r="S93" s="2"/>
      <c r="T93" s="2"/>
      <c r="U93" s="2"/>
      <c r="V93" s="2"/>
      <c r="W93" s="2"/>
      <c r="X93" s="2"/>
    </row>
    <row r="94" ht="15.75" customHeight="1">
      <c r="A94" s="2"/>
      <c r="B94" s="2"/>
      <c r="C94" s="2"/>
      <c r="D94" s="2"/>
      <c r="E94" s="2"/>
      <c r="F94" s="2"/>
      <c r="G94" s="2"/>
      <c r="H94" s="2"/>
      <c r="I94" s="2"/>
      <c r="J94" s="2"/>
      <c r="K94" s="2"/>
      <c r="L94" s="2"/>
      <c r="M94" s="2"/>
      <c r="N94" s="2"/>
      <c r="O94" s="2"/>
      <c r="P94" s="2"/>
      <c r="Q94" s="2"/>
      <c r="R94" s="2"/>
      <c r="S94" s="2"/>
      <c r="T94" s="2"/>
      <c r="U94" s="2"/>
      <c r="V94" s="2"/>
      <c r="W94" s="2"/>
      <c r="X94" s="2"/>
    </row>
    <row r="95" ht="15.75" customHeight="1">
      <c r="A95" s="2"/>
      <c r="B95" s="2"/>
      <c r="C95" s="2"/>
      <c r="D95" s="2"/>
      <c r="E95" s="2"/>
      <c r="F95" s="2"/>
      <c r="G95" s="2"/>
      <c r="H95" s="2"/>
      <c r="I95" s="2"/>
      <c r="J95" s="2"/>
      <c r="K95" s="2"/>
      <c r="L95" s="2"/>
      <c r="M95" s="2"/>
      <c r="N95" s="2"/>
      <c r="O95" s="2"/>
      <c r="P95" s="2"/>
      <c r="Q95" s="2"/>
      <c r="R95" s="2"/>
      <c r="S95" s="2"/>
      <c r="T95" s="2"/>
      <c r="U95" s="2"/>
      <c r="V95" s="2"/>
      <c r="W95" s="2"/>
      <c r="X95" s="2"/>
    </row>
    <row r="96" ht="15.75" customHeight="1">
      <c r="A96" s="2"/>
      <c r="B96" s="2"/>
      <c r="C96" s="2"/>
      <c r="D96" s="2"/>
      <c r="E96" s="2"/>
      <c r="F96" s="2"/>
      <c r="G96" s="2"/>
      <c r="H96" s="2"/>
      <c r="I96" s="2"/>
      <c r="J96" s="2"/>
      <c r="K96" s="2"/>
      <c r="L96" s="2"/>
      <c r="M96" s="2"/>
      <c r="N96" s="2"/>
      <c r="O96" s="2"/>
      <c r="P96" s="2"/>
      <c r="Q96" s="2"/>
      <c r="R96" s="2"/>
      <c r="S96" s="2"/>
      <c r="T96" s="2"/>
      <c r="U96" s="2"/>
      <c r="V96" s="2"/>
      <c r="W96" s="2"/>
      <c r="X96" s="2"/>
    </row>
    <row r="97" ht="15.75" customHeight="1">
      <c r="A97" s="2"/>
      <c r="B97" s="2"/>
      <c r="C97" s="2"/>
      <c r="D97" s="2"/>
      <c r="E97" s="2"/>
      <c r="F97" s="2"/>
      <c r="G97" s="2"/>
      <c r="H97" s="2"/>
      <c r="I97" s="2"/>
      <c r="J97" s="2"/>
      <c r="K97" s="2"/>
      <c r="L97" s="2"/>
      <c r="M97" s="2"/>
      <c r="N97" s="2"/>
      <c r="O97" s="2"/>
      <c r="P97" s="2"/>
      <c r="Q97" s="2"/>
      <c r="R97" s="2"/>
      <c r="S97" s="2"/>
      <c r="T97" s="2"/>
      <c r="U97" s="2"/>
      <c r="V97" s="2"/>
      <c r="W97" s="2"/>
      <c r="X97" s="2"/>
    </row>
    <row r="98" ht="15.75" customHeight="1">
      <c r="A98" s="2"/>
      <c r="B98" s="2"/>
      <c r="C98" s="2"/>
      <c r="D98" s="2"/>
      <c r="E98" s="2"/>
      <c r="F98" s="2"/>
      <c r="G98" s="2"/>
      <c r="H98" s="2"/>
      <c r="I98" s="2"/>
      <c r="J98" s="2"/>
      <c r="K98" s="2"/>
      <c r="L98" s="2"/>
      <c r="M98" s="2"/>
      <c r="N98" s="2"/>
      <c r="O98" s="2"/>
      <c r="P98" s="2"/>
      <c r="Q98" s="2"/>
      <c r="R98" s="2"/>
      <c r="S98" s="2"/>
      <c r="T98" s="2"/>
      <c r="U98" s="2"/>
      <c r="V98" s="2"/>
      <c r="W98" s="2"/>
      <c r="X98" s="2"/>
    </row>
    <row r="99" ht="15.75" customHeight="1">
      <c r="A99" s="2"/>
      <c r="B99" s="2"/>
      <c r="C99" s="2"/>
      <c r="D99" s="2"/>
      <c r="E99" s="2"/>
      <c r="F99" s="2"/>
      <c r="G99" s="2"/>
      <c r="H99" s="2"/>
      <c r="I99" s="2"/>
      <c r="J99" s="2"/>
      <c r="K99" s="2"/>
      <c r="L99" s="2"/>
      <c r="M99" s="2"/>
      <c r="N99" s="2"/>
      <c r="O99" s="2"/>
      <c r="P99" s="2"/>
      <c r="Q99" s="2"/>
      <c r="R99" s="2"/>
      <c r="S99" s="2"/>
      <c r="T99" s="2"/>
      <c r="U99" s="2"/>
      <c r="V99" s="2"/>
      <c r="W99" s="2"/>
      <c r="X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G5"/>
  </mergeCells>
  <dataValidations>
    <dataValidation type="list" allowBlank="1" showInputMessage="1" showErrorMessage="1" prompt=" - " sqref="E9">
      <formula1>$P$7:$P$10</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3366"/>
    <outlinePr summaryBelow="0" summaryRight="0"/>
    <pageSetUpPr/>
  </sheetPr>
  <sheetViews>
    <sheetView showGridLines="0" workbookViewId="0"/>
  </sheetViews>
  <sheetFormatPr customHeight="1" defaultColWidth="14.43" defaultRowHeight="15.0"/>
  <cols>
    <col customWidth="1" min="1" max="1" width="5.0"/>
    <col customWidth="1" min="2" max="2" width="2.71"/>
    <col customWidth="1" min="3" max="3" width="18.86"/>
    <col customWidth="1" min="4" max="4" width="16.14"/>
    <col customWidth="1" min="5" max="5" width="11.29"/>
    <col customWidth="1" min="6" max="6" width="13.29"/>
    <col customWidth="1" min="7" max="7" width="13.71"/>
    <col customWidth="1" min="8" max="8" width="11.43"/>
    <col customWidth="1" min="9" max="9" width="8.86"/>
    <col customWidth="1" min="10" max="10" width="48.86"/>
    <col customWidth="1" min="11" max="11" width="13.86"/>
    <col customWidth="1" min="12" max="12" width="15.57"/>
    <col customWidth="1" min="13" max="14" width="12.71"/>
    <col customWidth="1" min="15" max="18" width="11.29"/>
    <col customWidth="1" min="19" max="29" width="17.29"/>
  </cols>
  <sheetData>
    <row r="1" ht="15.75" customHeight="1">
      <c r="A1" s="27"/>
      <c r="B1" s="27"/>
      <c r="C1" s="27"/>
      <c r="D1" s="27"/>
      <c r="E1" s="27"/>
      <c r="F1" s="27"/>
      <c r="G1" s="27"/>
      <c r="H1" s="84"/>
      <c r="I1" s="84"/>
      <c r="J1" s="84"/>
      <c r="K1" s="84"/>
      <c r="L1" s="84"/>
      <c r="M1" s="27"/>
      <c r="N1" s="27"/>
      <c r="O1" s="27"/>
      <c r="P1" s="27"/>
      <c r="Q1" s="27"/>
      <c r="R1" s="27"/>
      <c r="S1" s="27"/>
      <c r="T1" s="27"/>
      <c r="U1" s="27"/>
      <c r="V1" s="2"/>
      <c r="W1" s="2"/>
      <c r="X1" s="2"/>
      <c r="Y1" s="2"/>
      <c r="Z1" s="2"/>
      <c r="AA1" s="2"/>
      <c r="AB1" s="2"/>
      <c r="AC1" s="2"/>
    </row>
    <row r="2">
      <c r="A2" s="84"/>
      <c r="B2" s="85"/>
      <c r="C2" s="86"/>
      <c r="D2" s="86"/>
      <c r="E2" s="86"/>
      <c r="F2" s="86"/>
      <c r="G2" s="86"/>
      <c r="H2" s="86"/>
      <c r="I2" s="87"/>
      <c r="J2" s="87"/>
      <c r="K2" s="87"/>
      <c r="L2" s="85"/>
      <c r="M2" s="87"/>
      <c r="N2" s="87"/>
      <c r="O2" s="87"/>
      <c r="P2" s="88"/>
      <c r="Q2" s="88"/>
      <c r="R2" s="88"/>
      <c r="S2" s="96"/>
      <c r="T2" s="88"/>
      <c r="U2" s="84"/>
      <c r="V2" s="2"/>
      <c r="W2" s="2"/>
      <c r="X2" s="2"/>
      <c r="Y2" s="2"/>
      <c r="Z2" s="2"/>
      <c r="AA2" s="2"/>
      <c r="AB2" s="2"/>
      <c r="AC2" s="2"/>
    </row>
    <row r="3" ht="18.75" customHeight="1">
      <c r="A3" s="84"/>
      <c r="B3" s="85"/>
      <c r="C3" s="153" t="s">
        <v>141</v>
      </c>
      <c r="D3" s="86"/>
      <c r="E3" s="86"/>
      <c r="F3" s="86"/>
      <c r="G3" s="86"/>
      <c r="H3" s="86"/>
      <c r="I3" s="90" t="s">
        <v>142</v>
      </c>
      <c r="J3" s="87"/>
      <c r="K3" s="87"/>
      <c r="L3" s="85"/>
      <c r="M3" s="87"/>
      <c r="N3" s="87"/>
      <c r="O3" s="87"/>
      <c r="P3" s="88"/>
      <c r="Q3" s="88"/>
      <c r="R3" s="88"/>
      <c r="S3" s="96"/>
      <c r="T3" s="88"/>
      <c r="U3" s="84"/>
      <c r="V3" s="2"/>
      <c r="W3" s="2"/>
      <c r="X3" s="2"/>
      <c r="Y3" s="2"/>
      <c r="Z3" s="2"/>
      <c r="AA3" s="2"/>
      <c r="AB3" s="2"/>
      <c r="AC3" s="2"/>
    </row>
    <row r="4">
      <c r="A4" s="91"/>
      <c r="B4" s="38"/>
      <c r="C4" s="92"/>
      <c r="D4" s="86"/>
      <c r="E4" s="86"/>
      <c r="F4" s="86"/>
      <c r="G4" s="86"/>
      <c r="H4" s="86"/>
      <c r="I4" s="87"/>
      <c r="J4" s="87"/>
      <c r="K4" s="87"/>
      <c r="L4" s="85"/>
      <c r="M4" s="86"/>
      <c r="N4" s="86"/>
      <c r="O4" s="86"/>
      <c r="P4" s="93"/>
      <c r="Q4" s="93"/>
      <c r="R4" s="93"/>
      <c r="S4" s="96"/>
      <c r="T4" s="93"/>
      <c r="U4" s="91"/>
      <c r="V4" s="2"/>
      <c r="W4" s="2"/>
      <c r="X4" s="2"/>
      <c r="Y4" s="2"/>
      <c r="Z4" s="2"/>
      <c r="AA4" s="2"/>
      <c r="AB4" s="2"/>
      <c r="AC4" s="2"/>
    </row>
    <row r="5" ht="25.5" customHeight="1">
      <c r="A5" s="91"/>
      <c r="B5" s="38"/>
      <c r="C5" s="94" t="s">
        <v>82</v>
      </c>
      <c r="D5" s="94">
        <f>M16</f>
        <v>5760000</v>
      </c>
      <c r="E5" s="86"/>
      <c r="F5" s="95" t="s">
        <v>119</v>
      </c>
      <c r="G5" s="45"/>
      <c r="H5" s="38"/>
      <c r="I5" s="46" t="s">
        <v>84</v>
      </c>
      <c r="J5" s="46" t="s">
        <v>85</v>
      </c>
      <c r="K5" s="46" t="s">
        <v>143</v>
      </c>
      <c r="L5" s="46" t="s">
        <v>144</v>
      </c>
      <c r="M5" s="46" t="s">
        <v>88</v>
      </c>
      <c r="N5" s="46" t="s">
        <v>89</v>
      </c>
      <c r="O5" s="86"/>
      <c r="P5" s="93"/>
      <c r="Q5" s="93"/>
      <c r="R5" s="93"/>
      <c r="S5" s="96"/>
      <c r="T5" s="93"/>
      <c r="U5" s="91"/>
      <c r="V5" s="2"/>
      <c r="W5" s="2"/>
      <c r="X5" s="2"/>
      <c r="Y5" s="2"/>
      <c r="Z5" s="2"/>
      <c r="AA5" s="2"/>
      <c r="AB5" s="2"/>
      <c r="AC5" s="2"/>
    </row>
    <row r="6" ht="12.75" customHeight="1">
      <c r="A6" s="91"/>
      <c r="B6" s="38"/>
      <c r="C6" s="94" t="s">
        <v>90</v>
      </c>
      <c r="D6" s="94">
        <f>N16</f>
        <v>2316000</v>
      </c>
      <c r="E6" s="86"/>
      <c r="F6" s="97" t="s">
        <v>115</v>
      </c>
      <c r="G6" s="154">
        <f>(COUNT(C10:C14)*(COUNT(C10:C14)+1))/2</f>
        <v>15</v>
      </c>
      <c r="H6" s="38"/>
      <c r="I6" s="149">
        <v>1.0</v>
      </c>
      <c r="J6" s="108" t="s">
        <v>145</v>
      </c>
      <c r="K6" s="160">
        <v>2400000.0</v>
      </c>
      <c r="L6" s="160">
        <v>1200000.0</v>
      </c>
      <c r="M6" s="69">
        <f t="shared" ref="M6:M15" si="1">K6*I6</f>
        <v>2400000</v>
      </c>
      <c r="N6" s="69">
        <f t="shared" ref="N6:N15" si="2">L6*I6</f>
        <v>1200000</v>
      </c>
      <c r="O6" s="86"/>
      <c r="P6" s="93"/>
      <c r="Q6" s="93"/>
      <c r="R6" s="93"/>
      <c r="S6" s="96" t="s">
        <v>97</v>
      </c>
      <c r="T6" s="93"/>
      <c r="U6" s="91"/>
      <c r="V6" s="2"/>
      <c r="W6" s="2"/>
      <c r="X6" s="2"/>
      <c r="Y6" s="2"/>
      <c r="Z6" s="2"/>
      <c r="AA6" s="2"/>
      <c r="AB6" s="2"/>
      <c r="AC6" s="2"/>
    </row>
    <row r="7" ht="12.75" customHeight="1">
      <c r="A7" s="91"/>
      <c r="B7" s="38"/>
      <c r="C7" s="94" t="s">
        <v>94</v>
      </c>
      <c r="D7" s="94">
        <f>+D5-D6</f>
        <v>3444000</v>
      </c>
      <c r="E7" s="86"/>
      <c r="F7" s="38"/>
      <c r="G7" s="38"/>
      <c r="H7" s="38"/>
      <c r="I7" s="149">
        <v>1.0</v>
      </c>
      <c r="J7" s="108" t="s">
        <v>146</v>
      </c>
      <c r="K7" s="160">
        <v>1100000.0</v>
      </c>
      <c r="L7" s="160">
        <v>550000.0</v>
      </c>
      <c r="M7" s="69">
        <f t="shared" si="1"/>
        <v>1100000</v>
      </c>
      <c r="N7" s="69">
        <f t="shared" si="2"/>
        <v>550000</v>
      </c>
      <c r="O7" s="86"/>
      <c r="P7" s="93"/>
      <c r="Q7" s="93"/>
      <c r="R7" s="93"/>
      <c r="S7" s="96" t="s">
        <v>100</v>
      </c>
      <c r="T7" s="93"/>
      <c r="U7" s="91"/>
      <c r="V7" s="2"/>
      <c r="W7" s="2"/>
      <c r="X7" s="2"/>
      <c r="Y7" s="2"/>
      <c r="Z7" s="2"/>
      <c r="AA7" s="2"/>
      <c r="AB7" s="2"/>
      <c r="AC7" s="2"/>
    </row>
    <row r="8" ht="12.75" customHeight="1">
      <c r="A8" s="91"/>
      <c r="B8" s="38"/>
      <c r="C8" s="86"/>
      <c r="D8" s="86"/>
      <c r="E8" s="38"/>
      <c r="F8" s="38"/>
      <c r="G8" s="38"/>
      <c r="H8" s="38"/>
      <c r="I8" s="149">
        <v>1.0</v>
      </c>
      <c r="J8" s="108" t="s">
        <v>147</v>
      </c>
      <c r="K8" s="160">
        <v>450000.0</v>
      </c>
      <c r="L8" s="160">
        <v>225000.0</v>
      </c>
      <c r="M8" s="69">
        <f t="shared" si="1"/>
        <v>450000</v>
      </c>
      <c r="N8" s="69">
        <f t="shared" si="2"/>
        <v>225000</v>
      </c>
      <c r="O8" s="86"/>
      <c r="P8" s="93"/>
      <c r="Q8" s="93"/>
      <c r="R8" s="93"/>
      <c r="S8" s="96" t="s">
        <v>107</v>
      </c>
      <c r="T8" s="93"/>
      <c r="U8" s="91"/>
      <c r="V8" s="2"/>
      <c r="W8" s="2"/>
      <c r="X8" s="2"/>
      <c r="Y8" s="2"/>
      <c r="Z8" s="2"/>
      <c r="AA8" s="2"/>
      <c r="AB8" s="2"/>
      <c r="AC8" s="2"/>
    </row>
    <row r="9" ht="35.25" customHeight="1">
      <c r="A9" s="91"/>
      <c r="B9" s="38"/>
      <c r="C9" s="46" t="s">
        <v>101</v>
      </c>
      <c r="D9" s="46" t="s">
        <v>102</v>
      </c>
      <c r="E9" s="46" t="s">
        <v>97</v>
      </c>
      <c r="F9" s="46" t="s">
        <v>103</v>
      </c>
      <c r="G9" s="46" t="s">
        <v>104</v>
      </c>
      <c r="H9" s="38"/>
      <c r="I9" s="98">
        <v>1.0</v>
      </c>
      <c r="J9" s="108" t="s">
        <v>148</v>
      </c>
      <c r="K9" s="160">
        <v>400000.0</v>
      </c>
      <c r="L9" s="160">
        <v>200000.0</v>
      </c>
      <c r="M9" s="69">
        <f t="shared" si="1"/>
        <v>400000</v>
      </c>
      <c r="N9" s="69">
        <f t="shared" si="2"/>
        <v>200000</v>
      </c>
      <c r="O9" s="86"/>
      <c r="P9" s="93"/>
      <c r="Q9" s="93"/>
      <c r="R9" s="93"/>
      <c r="S9" s="96" t="s">
        <v>110</v>
      </c>
      <c r="T9" s="93"/>
      <c r="U9" s="91"/>
      <c r="V9" s="2"/>
      <c r="W9" s="2"/>
      <c r="X9" s="2"/>
      <c r="Y9" s="2"/>
      <c r="Z9" s="2"/>
      <c r="AA9" s="2"/>
      <c r="AB9" s="2"/>
      <c r="AC9" s="2"/>
    </row>
    <row r="10" ht="13.5" customHeight="1">
      <c r="A10" s="27"/>
      <c r="B10" s="28"/>
      <c r="C10" s="106">
        <v>1.0</v>
      </c>
      <c r="D10" s="94">
        <f t="shared" ref="D10:D14" si="3">$D$7</f>
        <v>3444000</v>
      </c>
      <c r="E10" s="107">
        <f>IF($E$9="Definir sistema",0,IF($E$9="Lineal",$C$10/5,IF($E$9="Decreciente",C14/$G$6,C10/$G$6)))</f>
        <v>0.06666666667</v>
      </c>
      <c r="F10" s="152">
        <f t="shared" ref="F10:F14" si="4">D10*E10</f>
        <v>229600</v>
      </c>
      <c r="G10" s="152">
        <f>D5-F10</f>
        <v>5530400</v>
      </c>
      <c r="H10" s="85"/>
      <c r="I10" s="108">
        <v>2.0</v>
      </c>
      <c r="J10" s="108" t="s">
        <v>149</v>
      </c>
      <c r="K10" s="160">
        <v>290000.0</v>
      </c>
      <c r="L10" s="160">
        <v>29000.0</v>
      </c>
      <c r="M10" s="69">
        <f t="shared" si="1"/>
        <v>580000</v>
      </c>
      <c r="N10" s="69">
        <f t="shared" si="2"/>
        <v>58000</v>
      </c>
      <c r="O10" s="38"/>
      <c r="P10" s="91"/>
      <c r="Q10" s="91"/>
      <c r="R10" s="91"/>
      <c r="S10" s="96"/>
      <c r="T10" s="27"/>
      <c r="U10" s="27"/>
      <c r="V10" s="2"/>
      <c r="W10" s="2"/>
      <c r="X10" s="2"/>
      <c r="Y10" s="2"/>
      <c r="Z10" s="2"/>
      <c r="AA10" s="2"/>
      <c r="AB10" s="2"/>
      <c r="AC10" s="2"/>
    </row>
    <row r="11" ht="13.5" customHeight="1">
      <c r="A11" s="27"/>
      <c r="B11" s="28"/>
      <c r="C11" s="106">
        <v>2.0</v>
      </c>
      <c r="D11" s="94">
        <f t="shared" si="3"/>
        <v>3444000</v>
      </c>
      <c r="E11" s="107">
        <f>IF($E$9="Definir sistema",0,IF($E$9="Lineal",$C$10/5,IF($E$9="Decreciente",C13/$G$6,C11/$G$6)))</f>
        <v>0.1333333333</v>
      </c>
      <c r="F11" s="152">
        <f t="shared" si="4"/>
        <v>459200</v>
      </c>
      <c r="G11" s="152">
        <f t="shared" ref="G11:G14" si="5">G10-F11</f>
        <v>5071200</v>
      </c>
      <c r="H11" s="85"/>
      <c r="I11" s="108">
        <v>1.0</v>
      </c>
      <c r="J11" s="108" t="s">
        <v>150</v>
      </c>
      <c r="K11" s="160">
        <v>180000.0</v>
      </c>
      <c r="L11" s="160">
        <v>18000.0</v>
      </c>
      <c r="M11" s="69">
        <f t="shared" si="1"/>
        <v>180000</v>
      </c>
      <c r="N11" s="69">
        <f t="shared" si="2"/>
        <v>18000</v>
      </c>
      <c r="O11" s="38"/>
      <c r="P11" s="91"/>
      <c r="Q11" s="91"/>
      <c r="R11" s="91"/>
      <c r="S11" s="96"/>
      <c r="T11" s="27"/>
      <c r="U11" s="27"/>
      <c r="V11" s="2"/>
      <c r="W11" s="2"/>
      <c r="X11" s="2"/>
      <c r="Y11" s="2"/>
      <c r="Z11" s="2"/>
      <c r="AA11" s="2"/>
      <c r="AB11" s="2"/>
      <c r="AC11" s="2"/>
    </row>
    <row r="12" ht="13.5" customHeight="1">
      <c r="A12" s="27"/>
      <c r="B12" s="28"/>
      <c r="C12" s="106">
        <v>3.0</v>
      </c>
      <c r="D12" s="94">
        <f t="shared" si="3"/>
        <v>3444000</v>
      </c>
      <c r="E12" s="107">
        <f>IF($E$9="Definir sistema",0,IF($E$9="Lineal",$C$10/5,IF($E$9="Decreciente",C12/$G$6,C12/$G$6)))</f>
        <v>0.2</v>
      </c>
      <c r="F12" s="152">
        <f t="shared" si="4"/>
        <v>688800</v>
      </c>
      <c r="G12" s="152">
        <f t="shared" si="5"/>
        <v>4382400</v>
      </c>
      <c r="H12" s="85"/>
      <c r="I12" s="108">
        <v>1.0</v>
      </c>
      <c r="J12" s="108" t="s">
        <v>151</v>
      </c>
      <c r="K12" s="160">
        <v>650000.0</v>
      </c>
      <c r="L12" s="160">
        <v>65000.0</v>
      </c>
      <c r="M12" s="69">
        <f t="shared" si="1"/>
        <v>650000</v>
      </c>
      <c r="N12" s="69">
        <f t="shared" si="2"/>
        <v>65000</v>
      </c>
      <c r="O12" s="38"/>
      <c r="P12" s="91"/>
      <c r="Q12" s="91"/>
      <c r="R12" s="91"/>
      <c r="S12" s="96"/>
      <c r="T12" s="27"/>
      <c r="U12" s="27"/>
      <c r="V12" s="2"/>
      <c r="W12" s="2"/>
      <c r="X12" s="2"/>
      <c r="Y12" s="2"/>
      <c r="Z12" s="2"/>
      <c r="AA12" s="2"/>
      <c r="AB12" s="2"/>
      <c r="AC12" s="2"/>
    </row>
    <row r="13" ht="13.5" customHeight="1">
      <c r="A13" s="27"/>
      <c r="B13" s="28"/>
      <c r="C13" s="106">
        <v>4.0</v>
      </c>
      <c r="D13" s="94">
        <f t="shared" si="3"/>
        <v>3444000</v>
      </c>
      <c r="E13" s="107">
        <f>IF($E$9="Definir sistema",0,IF($E$9="Lineal",$C$10/5,IF($E$9="Decreciente",C11/$G$6,C13/$G$6)))</f>
        <v>0.2666666667</v>
      </c>
      <c r="F13" s="152">
        <f t="shared" si="4"/>
        <v>918400</v>
      </c>
      <c r="G13" s="152">
        <f t="shared" si="5"/>
        <v>3464000</v>
      </c>
      <c r="H13" s="85"/>
      <c r="I13" s="110"/>
      <c r="J13" s="110"/>
      <c r="K13" s="69"/>
      <c r="L13" s="69"/>
      <c r="M13" s="69">
        <f t="shared" si="1"/>
        <v>0</v>
      </c>
      <c r="N13" s="69">
        <f t="shared" si="2"/>
        <v>0</v>
      </c>
      <c r="O13" s="38"/>
      <c r="P13" s="91"/>
      <c r="Q13" s="91"/>
      <c r="R13" s="91"/>
      <c r="S13" s="27"/>
      <c r="T13" s="27"/>
      <c r="U13" s="27"/>
      <c r="V13" s="2"/>
      <c r="W13" s="2"/>
      <c r="X13" s="2"/>
      <c r="Y13" s="2"/>
      <c r="Z13" s="2"/>
      <c r="AA13" s="2"/>
      <c r="AB13" s="2"/>
      <c r="AC13" s="2"/>
    </row>
    <row r="14" ht="13.5" customHeight="1">
      <c r="A14" s="27"/>
      <c r="B14" s="28"/>
      <c r="C14" s="106">
        <v>5.0</v>
      </c>
      <c r="D14" s="94">
        <f t="shared" si="3"/>
        <v>3444000</v>
      </c>
      <c r="E14" s="107">
        <f>IF($E$9="Definir sistema",0,IF($E$9="Lineal",$C$10/5,IF($E$9="Decreciente",C10/$G$6,C14/$G$6)))</f>
        <v>0.3333333333</v>
      </c>
      <c r="F14" s="152">
        <f t="shared" si="4"/>
        <v>1148000</v>
      </c>
      <c r="G14" s="152">
        <f t="shared" si="5"/>
        <v>2316000</v>
      </c>
      <c r="H14" s="85"/>
      <c r="I14" s="110"/>
      <c r="J14" s="110"/>
      <c r="K14" s="69"/>
      <c r="L14" s="69"/>
      <c r="M14" s="69">
        <f t="shared" si="1"/>
        <v>0</v>
      </c>
      <c r="N14" s="69">
        <f t="shared" si="2"/>
        <v>0</v>
      </c>
      <c r="O14" s="38"/>
      <c r="P14" s="91"/>
      <c r="Q14" s="91"/>
      <c r="R14" s="91"/>
      <c r="S14" s="27"/>
      <c r="T14" s="27"/>
      <c r="U14" s="27"/>
      <c r="V14" s="2"/>
      <c r="W14" s="2"/>
      <c r="X14" s="2"/>
      <c r="Y14" s="2"/>
      <c r="Z14" s="2"/>
      <c r="AA14" s="2"/>
      <c r="AB14" s="2"/>
      <c r="AC14" s="2"/>
    </row>
    <row r="15" ht="13.5" customHeight="1">
      <c r="A15" s="27"/>
      <c r="B15" s="28"/>
      <c r="C15" s="38"/>
      <c r="D15" s="111" t="s">
        <v>102</v>
      </c>
      <c r="E15" s="112">
        <f t="shared" ref="E15:F15" si="6">SUM(E10:E14)</f>
        <v>1</v>
      </c>
      <c r="F15" s="113">
        <f t="shared" si="6"/>
        <v>3444000</v>
      </c>
      <c r="G15" s="114">
        <f>+G14-D6</f>
        <v>0</v>
      </c>
      <c r="H15" s="28"/>
      <c r="I15" s="110"/>
      <c r="J15" s="110"/>
      <c r="K15" s="69"/>
      <c r="L15" s="69"/>
      <c r="M15" s="69">
        <f t="shared" si="1"/>
        <v>0</v>
      </c>
      <c r="N15" s="69">
        <f t="shared" si="2"/>
        <v>0</v>
      </c>
      <c r="O15" s="38"/>
      <c r="P15" s="91"/>
      <c r="Q15" s="91"/>
      <c r="R15" s="91"/>
      <c r="S15" s="27"/>
      <c r="T15" s="27"/>
      <c r="U15" s="27"/>
      <c r="V15" s="2"/>
      <c r="W15" s="2"/>
      <c r="X15" s="2"/>
      <c r="Y15" s="2"/>
      <c r="Z15" s="2"/>
      <c r="AA15" s="2"/>
      <c r="AB15" s="2"/>
      <c r="AC15" s="2"/>
    </row>
    <row r="16" ht="14.25" customHeight="1">
      <c r="A16" s="27"/>
      <c r="B16" s="28"/>
      <c r="C16" s="38"/>
      <c r="D16" s="83"/>
      <c r="E16" s="83"/>
      <c r="F16" s="83"/>
      <c r="G16" s="83"/>
      <c r="H16" s="28"/>
      <c r="I16" s="38"/>
      <c r="J16" s="86"/>
      <c r="K16" s="86"/>
      <c r="L16" s="86"/>
      <c r="M16" s="115">
        <f t="shared" ref="M16:N16" si="7">SUM(M6:M15)</f>
        <v>5760000</v>
      </c>
      <c r="N16" s="115">
        <f t="shared" si="7"/>
        <v>2316000</v>
      </c>
      <c r="O16" s="38"/>
      <c r="P16" s="91"/>
      <c r="Q16" s="91"/>
      <c r="R16" s="91"/>
      <c r="S16" s="27"/>
      <c r="T16" s="27"/>
      <c r="U16" s="27"/>
      <c r="V16" s="2"/>
      <c r="W16" s="2"/>
      <c r="X16" s="2"/>
      <c r="Y16" s="2"/>
      <c r="Z16" s="2"/>
      <c r="AA16" s="2"/>
      <c r="AB16" s="2"/>
      <c r="AC16" s="2"/>
    </row>
    <row r="17" ht="14.25" customHeight="1">
      <c r="A17" s="27"/>
      <c r="B17" s="85"/>
      <c r="C17" s="161"/>
      <c r="D17" s="86"/>
      <c r="E17" s="86"/>
      <c r="F17" s="86"/>
      <c r="G17" s="86"/>
      <c r="H17" s="85"/>
      <c r="I17" s="162"/>
      <c r="J17" s="87"/>
      <c r="K17" s="87"/>
      <c r="L17" s="87"/>
      <c r="M17" s="38"/>
      <c r="N17" s="38"/>
      <c r="O17" s="38"/>
      <c r="P17" s="91"/>
      <c r="Q17" s="91"/>
      <c r="R17" s="91"/>
      <c r="S17" s="27"/>
      <c r="T17" s="27"/>
      <c r="U17" s="27"/>
      <c r="V17" s="2"/>
      <c r="W17" s="2"/>
      <c r="X17" s="2"/>
      <c r="Y17" s="2"/>
      <c r="Z17" s="2"/>
      <c r="AA17" s="2"/>
      <c r="AB17" s="2"/>
      <c r="AC17" s="2"/>
    </row>
    <row r="18" ht="14.25" customHeight="1">
      <c r="A18" s="27"/>
      <c r="B18" s="85"/>
      <c r="C18" s="86"/>
      <c r="D18" s="86"/>
      <c r="E18" s="86"/>
      <c r="F18" s="86"/>
      <c r="G18" s="86"/>
      <c r="H18" s="163"/>
      <c r="K18" s="87"/>
      <c r="L18" s="85"/>
      <c r="M18" s="38"/>
      <c r="N18" s="38"/>
      <c r="O18" s="38"/>
      <c r="P18" s="91"/>
      <c r="Q18" s="91"/>
      <c r="R18" s="91"/>
      <c r="S18" s="27"/>
      <c r="T18" s="27"/>
      <c r="U18" s="27"/>
      <c r="V18" s="2"/>
      <c r="W18" s="2"/>
      <c r="X18" s="2"/>
      <c r="Y18" s="2"/>
      <c r="Z18" s="2"/>
      <c r="AA18" s="2"/>
      <c r="AB18" s="2"/>
      <c r="AC18" s="2"/>
    </row>
    <row r="19" ht="14.25" customHeight="1">
      <c r="A19" s="27"/>
      <c r="B19" s="85"/>
      <c r="C19" s="86"/>
      <c r="D19" s="86"/>
      <c r="E19" s="86"/>
      <c r="F19" s="86"/>
      <c r="G19" s="86"/>
      <c r="H19" s="163"/>
      <c r="I19" s="162"/>
      <c r="K19" s="87"/>
      <c r="L19" s="85"/>
      <c r="M19" s="38"/>
      <c r="N19" s="91"/>
      <c r="O19" s="91"/>
      <c r="P19" s="91"/>
      <c r="Q19" s="91"/>
      <c r="R19" s="91"/>
      <c r="S19" s="27"/>
      <c r="T19" s="27"/>
      <c r="U19" s="27"/>
      <c r="V19" s="2"/>
      <c r="W19" s="2"/>
      <c r="X19" s="2"/>
      <c r="Y19" s="2"/>
      <c r="Z19" s="2"/>
      <c r="AA19" s="2"/>
      <c r="AB19" s="2"/>
      <c r="AC19" s="2"/>
    </row>
    <row r="20" ht="14.25" customHeight="1">
      <c r="A20" s="27"/>
      <c r="B20" s="85"/>
      <c r="C20" s="86"/>
      <c r="D20" s="86"/>
      <c r="E20" s="86"/>
      <c r="F20" s="86"/>
      <c r="G20" s="86"/>
      <c r="H20" s="163"/>
      <c r="I20" s="162"/>
      <c r="J20" s="87"/>
      <c r="K20" s="87"/>
      <c r="L20" s="85"/>
      <c r="M20" s="38"/>
      <c r="N20" s="91"/>
      <c r="O20" s="91"/>
      <c r="P20" s="91"/>
      <c r="Q20" s="91"/>
      <c r="R20" s="91"/>
      <c r="S20" s="27"/>
      <c r="T20" s="27"/>
      <c r="U20" s="27"/>
      <c r="V20" s="2"/>
      <c r="W20" s="2"/>
      <c r="X20" s="2"/>
      <c r="Y20" s="2"/>
      <c r="Z20" s="2"/>
      <c r="AA20" s="2"/>
      <c r="AB20" s="2"/>
      <c r="AC20" s="2"/>
    </row>
    <row r="21" ht="14.25" customHeight="1">
      <c r="A21" s="27"/>
      <c r="B21" s="28"/>
      <c r="C21" s="164"/>
      <c r="D21" s="38"/>
      <c r="E21" s="38"/>
      <c r="F21" s="38"/>
      <c r="G21" s="38"/>
      <c r="H21" s="85"/>
      <c r="I21" s="85"/>
      <c r="J21" s="85"/>
      <c r="K21" s="85"/>
      <c r="L21" s="85"/>
      <c r="M21" s="38"/>
      <c r="N21" s="91"/>
      <c r="O21" s="91"/>
      <c r="P21" s="91"/>
      <c r="Q21" s="91"/>
      <c r="R21" s="91"/>
      <c r="S21" s="27"/>
      <c r="T21" s="27"/>
      <c r="U21" s="27"/>
      <c r="V21" s="2"/>
      <c r="W21" s="2"/>
      <c r="X21" s="2"/>
      <c r="Y21" s="2"/>
      <c r="Z21" s="2"/>
      <c r="AA21" s="2"/>
      <c r="AB21" s="2"/>
      <c r="AC21" s="2"/>
    </row>
    <row r="22" ht="14.25" customHeight="1">
      <c r="A22" s="27"/>
      <c r="B22" s="28"/>
      <c r="C22" s="38"/>
      <c r="D22" s="38"/>
      <c r="E22" s="38"/>
      <c r="F22" s="38"/>
      <c r="G22" s="38"/>
      <c r="H22" s="85"/>
      <c r="I22" s="85"/>
      <c r="J22" s="85"/>
      <c r="K22" s="85"/>
      <c r="L22" s="85"/>
      <c r="M22" s="38"/>
      <c r="N22" s="91"/>
      <c r="O22" s="91"/>
      <c r="P22" s="91"/>
      <c r="Q22" s="91"/>
      <c r="R22" s="91"/>
      <c r="S22" s="27"/>
      <c r="T22" s="27"/>
      <c r="U22" s="27"/>
      <c r="V22" s="2"/>
      <c r="W22" s="2"/>
      <c r="X22" s="2"/>
      <c r="Y22" s="2"/>
      <c r="Z22" s="2"/>
      <c r="AA22" s="2"/>
      <c r="AB22" s="2"/>
      <c r="AC22" s="2"/>
    </row>
    <row r="23" ht="14.25" customHeight="1">
      <c r="A23" s="27"/>
      <c r="B23" s="27"/>
      <c r="C23" s="91"/>
      <c r="D23" s="91"/>
      <c r="E23" s="91"/>
      <c r="F23" s="91"/>
      <c r="G23" s="91"/>
      <c r="H23" s="84"/>
      <c r="I23" s="84"/>
      <c r="J23" s="84"/>
      <c r="K23" s="84"/>
      <c r="L23" s="84"/>
      <c r="M23" s="91"/>
      <c r="N23" s="91"/>
      <c r="O23" s="91"/>
      <c r="P23" s="91"/>
      <c r="Q23" s="91"/>
      <c r="R23" s="91"/>
      <c r="S23" s="27"/>
      <c r="T23" s="27"/>
      <c r="U23" s="27"/>
      <c r="V23" s="2"/>
      <c r="W23" s="2"/>
      <c r="X23" s="2"/>
      <c r="Y23" s="2"/>
      <c r="Z23" s="2"/>
      <c r="AA23" s="2"/>
      <c r="AB23" s="2"/>
      <c r="AC23" s="2"/>
    </row>
    <row r="24" ht="14.25" customHeight="1">
      <c r="A24" s="27"/>
      <c r="B24" s="27"/>
      <c r="C24" s="91"/>
      <c r="D24" s="91"/>
      <c r="E24" s="91"/>
      <c r="F24" s="91"/>
      <c r="G24" s="91"/>
      <c r="H24" s="84"/>
      <c r="I24" s="84"/>
      <c r="J24" s="84"/>
      <c r="K24" s="84"/>
      <c r="L24" s="84"/>
      <c r="M24" s="91"/>
      <c r="N24" s="91"/>
      <c r="O24" s="91"/>
      <c r="P24" s="91"/>
      <c r="Q24" s="91"/>
      <c r="R24" s="91"/>
      <c r="S24" s="27"/>
      <c r="T24" s="27"/>
      <c r="U24" s="27"/>
      <c r="V24" s="2"/>
      <c r="W24" s="2"/>
      <c r="X24" s="2"/>
      <c r="Y24" s="2"/>
      <c r="Z24" s="2"/>
      <c r="AA24" s="2"/>
      <c r="AB24" s="2"/>
      <c r="AC24" s="2"/>
    </row>
    <row r="25" ht="14.25" customHeight="1">
      <c r="A25" s="27"/>
      <c r="B25" s="27"/>
      <c r="C25" s="116"/>
      <c r="D25" s="91"/>
      <c r="E25" s="91"/>
      <c r="F25" s="91"/>
      <c r="G25" s="91"/>
      <c r="H25" s="84"/>
      <c r="I25" s="84"/>
      <c r="J25" s="84"/>
      <c r="K25" s="84"/>
      <c r="L25" s="84"/>
      <c r="M25" s="91"/>
      <c r="N25" s="91"/>
      <c r="O25" s="91"/>
      <c r="P25" s="91"/>
      <c r="Q25" s="91"/>
      <c r="R25" s="91"/>
      <c r="S25" s="27"/>
      <c r="T25" s="27"/>
      <c r="U25" s="27"/>
      <c r="V25" s="2"/>
      <c r="W25" s="2"/>
      <c r="X25" s="2"/>
      <c r="Y25" s="2"/>
      <c r="Z25" s="2"/>
      <c r="AA25" s="2"/>
      <c r="AB25" s="2"/>
      <c r="AC25" s="2"/>
    </row>
    <row r="26" ht="15.75" customHeight="1">
      <c r="A26" s="27"/>
      <c r="B26" s="27"/>
      <c r="C26" s="27"/>
      <c r="D26" s="27"/>
      <c r="E26" s="27"/>
      <c r="F26" s="27"/>
      <c r="G26" s="27"/>
      <c r="H26" s="84"/>
      <c r="I26" s="84"/>
      <c r="J26" s="84"/>
      <c r="K26" s="84"/>
      <c r="L26" s="84"/>
      <c r="M26" s="27"/>
      <c r="N26" s="27"/>
      <c r="O26" s="27"/>
      <c r="P26" s="27"/>
      <c r="Q26" s="27"/>
      <c r="R26" s="27"/>
      <c r="S26" s="27"/>
      <c r="T26" s="27"/>
      <c r="U26" s="27"/>
      <c r="V26" s="2"/>
      <c r="W26" s="2"/>
      <c r="X26" s="2"/>
      <c r="Y26" s="2"/>
      <c r="Z26" s="2"/>
      <c r="AA26" s="2"/>
      <c r="AB26" s="2"/>
      <c r="AC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F5:G5"/>
  </mergeCells>
  <dataValidations>
    <dataValidation type="list" allowBlank="1" showInputMessage="1" showErrorMessage="1" prompt=" - " sqref="E9">
      <formula1>$S$6:$S$9</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1" width="1.86"/>
    <col customWidth="1" min="2" max="2" width="3.43"/>
    <col customWidth="1" min="3" max="3" width="39.0"/>
    <col customWidth="1" min="4" max="4" width="13.71"/>
    <col customWidth="1" min="5" max="5" width="12.14"/>
    <col customWidth="1" min="6" max="6" width="15.43"/>
    <col customWidth="1" min="7" max="7" width="10.14"/>
    <col customWidth="1" min="8" max="8" width="1.71"/>
    <col customWidth="1" min="9" max="9" width="40.29"/>
    <col customWidth="1" min="10" max="10" width="12.43"/>
    <col customWidth="1" min="11" max="11" width="14.86"/>
    <col customWidth="1" min="12" max="12" width="24.57"/>
    <col customWidth="1" min="13" max="13" width="11.71"/>
    <col customWidth="1" min="14" max="23" width="11.29"/>
    <col customWidth="1" min="24" max="25" width="17.29"/>
  </cols>
  <sheetData>
    <row r="1" ht="5.25" customHeight="1">
      <c r="A1" s="27"/>
      <c r="B1" s="27"/>
      <c r="C1" s="27"/>
      <c r="D1" s="27"/>
      <c r="E1" s="27"/>
      <c r="F1" s="27"/>
      <c r="G1" s="27"/>
      <c r="H1" s="27"/>
      <c r="I1" s="27"/>
      <c r="J1" s="27"/>
      <c r="K1" s="27"/>
      <c r="L1" s="27"/>
      <c r="M1" s="27"/>
      <c r="N1" s="27"/>
      <c r="O1" s="27"/>
      <c r="P1" s="2"/>
      <c r="Q1" s="2"/>
      <c r="R1" s="2"/>
      <c r="S1" s="2"/>
      <c r="T1" s="2"/>
      <c r="U1" s="2"/>
      <c r="V1" s="2"/>
      <c r="W1" s="2"/>
      <c r="X1" s="2"/>
      <c r="Y1" s="2"/>
    </row>
    <row r="2" ht="14.25" customHeight="1">
      <c r="A2" s="27"/>
      <c r="B2" s="28"/>
      <c r="C2" s="38"/>
      <c r="D2" s="38"/>
      <c r="E2" s="38"/>
      <c r="F2" s="38"/>
      <c r="G2" s="38"/>
      <c r="H2" s="38"/>
      <c r="I2" s="38"/>
      <c r="J2" s="38"/>
      <c r="K2" s="38"/>
      <c r="L2" s="38"/>
      <c r="M2" s="38"/>
      <c r="N2" s="91"/>
      <c r="O2" s="27"/>
      <c r="Q2" s="2"/>
      <c r="R2" s="2"/>
      <c r="S2" s="2"/>
      <c r="T2" s="2"/>
      <c r="U2" s="2"/>
      <c r="V2" s="2"/>
      <c r="W2" s="2"/>
      <c r="X2" s="2"/>
      <c r="Y2" s="2"/>
    </row>
    <row r="3" ht="18.75" customHeight="1">
      <c r="A3" s="27"/>
      <c r="B3" s="28"/>
      <c r="C3" s="165" t="s">
        <v>152</v>
      </c>
      <c r="D3" s="28"/>
      <c r="G3" s="38"/>
      <c r="H3" s="38"/>
      <c r="I3" s="38"/>
      <c r="J3" s="38"/>
      <c r="K3" s="38"/>
      <c r="M3" s="38"/>
      <c r="N3" s="91"/>
      <c r="O3" s="27"/>
      <c r="P3" s="2"/>
      <c r="Q3" s="2"/>
      <c r="R3" s="2"/>
      <c r="S3" s="2"/>
      <c r="T3" s="2"/>
      <c r="U3" s="2"/>
      <c r="V3" s="2"/>
      <c r="W3" s="2"/>
      <c r="X3" s="2"/>
      <c r="Y3" s="2"/>
    </row>
    <row r="4" ht="18.75" customHeight="1">
      <c r="A4" s="27"/>
      <c r="B4" s="28"/>
      <c r="C4" s="165"/>
      <c r="D4" s="28"/>
      <c r="F4" s="38"/>
      <c r="G4" s="38"/>
      <c r="H4" s="38"/>
      <c r="I4" s="38"/>
      <c r="J4" s="38"/>
      <c r="K4" s="38"/>
      <c r="L4" s="38"/>
      <c r="M4" s="166"/>
      <c r="N4" s="91"/>
      <c r="O4" s="27"/>
      <c r="P4" s="2"/>
      <c r="Q4" s="2"/>
      <c r="R4" s="2"/>
      <c r="S4" s="2"/>
      <c r="T4" s="2"/>
      <c r="U4" s="2"/>
      <c r="V4" s="2"/>
      <c r="W4" s="2"/>
      <c r="X4" s="2"/>
      <c r="Y4" s="2"/>
    </row>
    <row r="5" ht="14.25" customHeight="1">
      <c r="A5" s="27"/>
      <c r="B5" s="28"/>
      <c r="C5" s="167" t="s">
        <v>153</v>
      </c>
      <c r="D5" s="168"/>
      <c r="E5" s="38"/>
      <c r="F5" s="38"/>
      <c r="G5" s="38"/>
      <c r="H5" s="38"/>
      <c r="I5" s="167" t="s">
        <v>154</v>
      </c>
      <c r="J5" s="38"/>
      <c r="K5" s="38"/>
      <c r="L5" s="38"/>
      <c r="M5" s="38"/>
      <c r="N5" s="91"/>
      <c r="O5" s="27"/>
      <c r="P5" s="2"/>
      <c r="Q5" s="2"/>
      <c r="R5" s="2"/>
      <c r="S5" s="2"/>
      <c r="T5" s="2"/>
      <c r="U5" s="2"/>
      <c r="V5" s="2"/>
      <c r="W5" s="2"/>
      <c r="X5" s="2"/>
      <c r="Y5" s="2"/>
    </row>
    <row r="6" ht="22.5" customHeight="1">
      <c r="A6" s="27"/>
      <c r="B6" s="28"/>
      <c r="C6" s="46" t="s">
        <v>155</v>
      </c>
      <c r="D6" s="46" t="s">
        <v>156</v>
      </c>
      <c r="E6" s="46" t="s">
        <v>157</v>
      </c>
      <c r="F6" s="46" t="s">
        <v>158</v>
      </c>
      <c r="G6" s="38"/>
      <c r="H6" s="38"/>
      <c r="I6" s="169" t="s">
        <v>159</v>
      </c>
      <c r="J6" s="46" t="s">
        <v>160</v>
      </c>
      <c r="K6" s="46" t="s">
        <v>161</v>
      </c>
      <c r="L6" s="38"/>
      <c r="M6" s="38"/>
      <c r="N6" s="91"/>
      <c r="O6" s="27"/>
      <c r="P6" s="2"/>
      <c r="Q6" s="2"/>
      <c r="R6" s="2"/>
      <c r="S6" s="2"/>
      <c r="T6" s="2"/>
      <c r="U6" s="2"/>
      <c r="V6" s="2"/>
      <c r="W6" s="2"/>
      <c r="X6" s="2"/>
      <c r="Y6" s="2"/>
    </row>
    <row r="7" ht="13.5" customHeight="1">
      <c r="A7" s="27"/>
      <c r="B7" s="28"/>
      <c r="C7" s="170" t="s">
        <v>162</v>
      </c>
      <c r="D7" s="171">
        <v>822402.24</v>
      </c>
      <c r="E7" s="170">
        <v>1.0</v>
      </c>
      <c r="F7" s="172">
        <f t="shared" ref="F7:F15" si="1">D7*E7</f>
        <v>822402.24</v>
      </c>
      <c r="G7" s="38"/>
      <c r="H7" s="38"/>
      <c r="I7" s="170" t="s">
        <v>163</v>
      </c>
      <c r="J7" s="171">
        <v>5500.0</v>
      </c>
      <c r="K7" s="170" t="s">
        <v>164</v>
      </c>
      <c r="L7" s="38"/>
      <c r="M7" s="166"/>
      <c r="N7" s="91"/>
      <c r="O7" s="27"/>
      <c r="P7" s="2"/>
      <c r="Q7" s="2"/>
      <c r="R7" s="2"/>
      <c r="S7" s="2"/>
      <c r="T7" s="2"/>
      <c r="U7" s="2"/>
      <c r="V7" s="2"/>
      <c r="W7" s="2"/>
      <c r="X7" s="2"/>
      <c r="Y7" s="2"/>
    </row>
    <row r="8" ht="13.5" customHeight="1">
      <c r="A8" s="27"/>
      <c r="B8" s="28"/>
      <c r="C8" s="170" t="s">
        <v>165</v>
      </c>
      <c r="D8" s="171">
        <v>902156.64</v>
      </c>
      <c r="E8" s="170">
        <v>1.0</v>
      </c>
      <c r="F8" s="172">
        <f t="shared" si="1"/>
        <v>902156.64</v>
      </c>
      <c r="G8" s="38"/>
      <c r="H8" s="38"/>
      <c r="I8" s="170" t="s">
        <v>166</v>
      </c>
      <c r="J8" s="171">
        <v>6800.0</v>
      </c>
      <c r="K8" s="170" t="s">
        <v>164</v>
      </c>
      <c r="L8" s="38"/>
      <c r="M8" s="173"/>
      <c r="N8" s="91"/>
      <c r="O8" s="27"/>
      <c r="P8" s="2"/>
      <c r="Q8" s="2"/>
      <c r="R8" s="2"/>
      <c r="S8" s="2"/>
      <c r="T8" s="2"/>
      <c r="U8" s="2"/>
      <c r="V8" s="2"/>
      <c r="W8" s="2"/>
      <c r="X8" s="2"/>
      <c r="Y8" s="2"/>
    </row>
    <row r="9" ht="13.5" customHeight="1">
      <c r="A9" s="27"/>
      <c r="B9" s="28"/>
      <c r="C9" s="170"/>
      <c r="D9" s="174"/>
      <c r="E9" s="170"/>
      <c r="F9" s="172">
        <f t="shared" si="1"/>
        <v>0</v>
      </c>
      <c r="G9" s="38"/>
      <c r="H9" s="38"/>
      <c r="I9" s="170" t="s">
        <v>167</v>
      </c>
      <c r="J9" s="174">
        <v>3500.0</v>
      </c>
      <c r="K9" s="170" t="s">
        <v>164</v>
      </c>
      <c r="L9" s="38"/>
      <c r="M9" s="175"/>
      <c r="N9" s="91"/>
      <c r="O9" s="27"/>
      <c r="P9" s="2"/>
      <c r="Q9" s="2"/>
      <c r="R9" s="2"/>
      <c r="S9" s="2"/>
      <c r="T9" s="2"/>
      <c r="U9" s="2"/>
      <c r="V9" s="2"/>
      <c r="W9" s="2"/>
      <c r="X9" s="2"/>
      <c r="Y9" s="2"/>
    </row>
    <row r="10" ht="13.5" customHeight="1">
      <c r="A10" s="27"/>
      <c r="B10" s="28"/>
      <c r="C10" s="170"/>
      <c r="D10" s="174"/>
      <c r="E10" s="170"/>
      <c r="F10" s="172">
        <f t="shared" si="1"/>
        <v>0</v>
      </c>
      <c r="G10" s="38"/>
      <c r="H10" s="38"/>
      <c r="I10" s="170" t="s">
        <v>168</v>
      </c>
      <c r="J10" s="174">
        <v>1500.0</v>
      </c>
      <c r="K10" s="170" t="s">
        <v>164</v>
      </c>
      <c r="L10" s="38"/>
      <c r="M10" s="38"/>
      <c r="N10" s="91"/>
      <c r="O10" s="27"/>
      <c r="P10" s="2"/>
      <c r="Q10" s="2"/>
      <c r="R10" s="2"/>
      <c r="S10" s="2"/>
      <c r="T10" s="2"/>
      <c r="U10" s="2"/>
      <c r="V10" s="2"/>
      <c r="W10" s="2"/>
      <c r="X10" s="2"/>
      <c r="Y10" s="2"/>
    </row>
    <row r="11" ht="13.5" customHeight="1">
      <c r="A11" s="27"/>
      <c r="B11" s="28"/>
      <c r="C11" s="170"/>
      <c r="D11" s="174"/>
      <c r="E11" s="170"/>
      <c r="F11" s="172">
        <f t="shared" si="1"/>
        <v>0</v>
      </c>
      <c r="G11" s="38"/>
      <c r="H11" s="38"/>
      <c r="I11" s="170" t="s">
        <v>169</v>
      </c>
      <c r="J11" s="174">
        <v>1000.0</v>
      </c>
      <c r="K11" s="170" t="s">
        <v>164</v>
      </c>
      <c r="L11" s="38"/>
      <c r="M11" s="38"/>
      <c r="N11" s="91"/>
      <c r="O11" s="27"/>
      <c r="P11" s="2"/>
      <c r="Q11" s="2"/>
      <c r="R11" s="2"/>
      <c r="S11" s="2"/>
      <c r="T11" s="2"/>
      <c r="U11" s="2"/>
      <c r="V11" s="2"/>
      <c r="W11" s="2"/>
      <c r="X11" s="2"/>
      <c r="Y11" s="2"/>
    </row>
    <row r="12" ht="13.5" customHeight="1">
      <c r="A12" s="27"/>
      <c r="B12" s="28"/>
      <c r="C12" s="176"/>
      <c r="D12" s="172"/>
      <c r="E12" s="176"/>
      <c r="F12" s="172">
        <f t="shared" si="1"/>
        <v>0</v>
      </c>
      <c r="G12" s="38"/>
      <c r="H12" s="38"/>
      <c r="I12" s="170" t="s">
        <v>170</v>
      </c>
      <c r="J12" s="174">
        <v>1800.0</v>
      </c>
      <c r="K12" s="170" t="s">
        <v>164</v>
      </c>
      <c r="L12" s="38"/>
      <c r="M12" s="38"/>
      <c r="N12" s="91"/>
      <c r="O12" s="27"/>
      <c r="P12" s="2"/>
      <c r="Q12" s="2"/>
      <c r="R12" s="2"/>
      <c r="S12" s="2"/>
      <c r="T12" s="2"/>
      <c r="U12" s="2"/>
      <c r="V12" s="2"/>
      <c r="W12" s="2"/>
      <c r="X12" s="2"/>
      <c r="Y12" s="2"/>
    </row>
    <row r="13" ht="13.5" customHeight="1">
      <c r="A13" s="27"/>
      <c r="B13" s="28"/>
      <c r="C13" s="176"/>
      <c r="D13" s="172"/>
      <c r="E13" s="176"/>
      <c r="F13" s="172">
        <f t="shared" si="1"/>
        <v>0</v>
      </c>
      <c r="G13" s="38"/>
      <c r="H13" s="38"/>
      <c r="I13" s="170" t="s">
        <v>171</v>
      </c>
      <c r="J13" s="174">
        <v>1500.0</v>
      </c>
      <c r="K13" s="170" t="s">
        <v>164</v>
      </c>
      <c r="L13" s="38"/>
      <c r="M13" s="38"/>
      <c r="N13" s="91"/>
      <c r="O13" s="27"/>
      <c r="P13" s="2"/>
      <c r="Q13" s="2"/>
      <c r="R13" s="2"/>
      <c r="S13" s="2"/>
      <c r="T13" s="2"/>
      <c r="U13" s="2"/>
      <c r="V13" s="2"/>
      <c r="W13" s="2"/>
      <c r="X13" s="2"/>
      <c r="Y13" s="2"/>
    </row>
    <row r="14" ht="13.5" customHeight="1">
      <c r="A14" s="27"/>
      <c r="B14" s="28"/>
      <c r="C14" s="176"/>
      <c r="D14" s="172"/>
      <c r="E14" s="176"/>
      <c r="F14" s="172">
        <f t="shared" si="1"/>
        <v>0</v>
      </c>
      <c r="G14" s="38"/>
      <c r="H14" s="38"/>
      <c r="I14" s="170" t="s">
        <v>172</v>
      </c>
      <c r="J14" s="174">
        <v>1000.0</v>
      </c>
      <c r="K14" s="170" t="s">
        <v>164</v>
      </c>
      <c r="L14" s="38"/>
      <c r="M14" s="38"/>
      <c r="N14" s="91"/>
      <c r="O14" s="27"/>
      <c r="P14" s="2"/>
      <c r="Q14" s="2"/>
      <c r="R14" s="2"/>
      <c r="S14" s="2"/>
      <c r="T14" s="2"/>
      <c r="U14" s="2"/>
      <c r="V14" s="2"/>
      <c r="W14" s="2"/>
      <c r="X14" s="2"/>
      <c r="Y14" s="2"/>
    </row>
    <row r="15" ht="13.5" customHeight="1">
      <c r="A15" s="27"/>
      <c r="B15" s="28"/>
      <c r="C15" s="176"/>
      <c r="D15" s="172"/>
      <c r="E15" s="176"/>
      <c r="F15" s="172">
        <f t="shared" si="1"/>
        <v>0</v>
      </c>
      <c r="G15" s="38"/>
      <c r="H15" s="38"/>
      <c r="I15" s="170" t="s">
        <v>173</v>
      </c>
      <c r="J15" s="174">
        <v>4800.0</v>
      </c>
      <c r="K15" s="170" t="s">
        <v>164</v>
      </c>
      <c r="L15" s="38"/>
      <c r="M15" s="38"/>
      <c r="N15" s="91"/>
      <c r="O15" s="27"/>
      <c r="P15" s="2"/>
      <c r="Q15" s="2"/>
      <c r="R15" s="2"/>
      <c r="S15" s="2"/>
      <c r="T15" s="2"/>
      <c r="U15" s="2"/>
      <c r="V15" s="2"/>
      <c r="W15" s="2"/>
      <c r="X15" s="2"/>
      <c r="Y15" s="2"/>
    </row>
    <row r="16" ht="13.5" customHeight="1">
      <c r="A16" s="27"/>
      <c r="B16" s="28"/>
      <c r="C16" s="177" t="s">
        <v>174</v>
      </c>
      <c r="D16" s="178"/>
      <c r="E16" s="179">
        <f t="shared" ref="E16:F16" si="2">SUM(E7:E15)</f>
        <v>2</v>
      </c>
      <c r="F16" s="180">
        <f t="shared" si="2"/>
        <v>1724558.88</v>
      </c>
      <c r="G16" s="38"/>
      <c r="H16" s="38"/>
      <c r="I16" s="38"/>
      <c r="J16" s="38"/>
      <c r="K16" s="38"/>
      <c r="L16" s="38"/>
      <c r="M16" s="38"/>
      <c r="N16" s="91"/>
      <c r="O16" s="27"/>
      <c r="P16" s="2"/>
      <c r="Q16" s="2"/>
      <c r="R16" s="2"/>
      <c r="S16" s="2"/>
      <c r="T16" s="2"/>
      <c r="U16" s="2"/>
      <c r="V16" s="2"/>
      <c r="W16" s="2"/>
      <c r="X16" s="2"/>
      <c r="Y16" s="2"/>
    </row>
    <row r="17" ht="13.5" customHeight="1">
      <c r="A17" s="27"/>
      <c r="B17" s="28"/>
      <c r="C17" s="177" t="s">
        <v>175</v>
      </c>
      <c r="D17" s="181"/>
      <c r="E17" s="182"/>
      <c r="F17" s="183">
        <f>12*F16</f>
        <v>20694706.56</v>
      </c>
      <c r="G17" s="38"/>
      <c r="H17" s="38"/>
      <c r="I17" s="28"/>
      <c r="J17" s="38"/>
      <c r="K17" s="38"/>
      <c r="L17" s="38"/>
      <c r="M17" s="38"/>
      <c r="N17" s="91"/>
      <c r="O17" s="27"/>
      <c r="P17" s="2"/>
      <c r="Q17" s="2"/>
      <c r="R17" s="2"/>
      <c r="S17" s="2"/>
      <c r="T17" s="2"/>
      <c r="U17" s="2"/>
      <c r="V17" s="2"/>
      <c r="W17" s="2"/>
      <c r="X17" s="2"/>
      <c r="Y17" s="2"/>
    </row>
    <row r="18" ht="25.5" customHeight="1">
      <c r="A18" s="27"/>
      <c r="B18" s="28"/>
      <c r="C18" s="38"/>
      <c r="D18" s="38"/>
      <c r="E18" s="38"/>
      <c r="F18" s="38"/>
      <c r="G18" s="38"/>
      <c r="H18" s="38"/>
      <c r="I18" s="167" t="s">
        <v>176</v>
      </c>
      <c r="J18" s="46" t="s">
        <v>177</v>
      </c>
      <c r="K18" s="46" t="s">
        <v>160</v>
      </c>
      <c r="L18" s="46" t="s">
        <v>178</v>
      </c>
      <c r="M18" s="38"/>
      <c r="N18" s="91"/>
      <c r="O18" s="27"/>
      <c r="P18" s="2"/>
      <c r="Q18" s="2"/>
      <c r="R18" s="2"/>
      <c r="S18" s="2"/>
      <c r="T18" s="2"/>
      <c r="U18" s="2"/>
      <c r="V18" s="2"/>
      <c r="W18" s="2"/>
      <c r="X18" s="2"/>
      <c r="Y18" s="2"/>
    </row>
    <row r="19" ht="12.75" customHeight="1">
      <c r="A19" s="27"/>
      <c r="B19" s="28"/>
      <c r="C19" s="177" t="s">
        <v>179</v>
      </c>
      <c r="D19" s="181"/>
      <c r="E19" s="182"/>
      <c r="F19" s="183">
        <f>F16</f>
        <v>1724558.88</v>
      </c>
      <c r="G19" s="38"/>
      <c r="H19" s="38"/>
      <c r="I19" s="176" t="str">
        <f t="shared" ref="I19:I23" si="3">IF(I7="","",I7)</f>
        <v>Cuerpo Acero Inox 18/8 (Doble capa)</v>
      </c>
      <c r="J19" s="184">
        <v>1.0</v>
      </c>
      <c r="K19" s="185">
        <f t="shared" ref="K19:K27" si="4">+J7</f>
        <v>5500</v>
      </c>
      <c r="L19" s="185">
        <f t="shared" ref="L19:L27" si="5">J19*K19</f>
        <v>5500</v>
      </c>
      <c r="M19" s="38"/>
      <c r="N19" s="91"/>
      <c r="O19" s="27"/>
      <c r="P19" s="2"/>
      <c r="Q19" s="2"/>
      <c r="R19" s="2"/>
      <c r="S19" s="2"/>
      <c r="T19" s="2"/>
      <c r="U19" s="2"/>
      <c r="V19" s="2"/>
      <c r="W19" s="2"/>
      <c r="X19" s="2"/>
      <c r="Y19" s="2"/>
    </row>
    <row r="20" ht="13.5" customHeight="1">
      <c r="A20" s="27"/>
      <c r="B20" s="28"/>
      <c r="C20" s="38"/>
      <c r="D20" s="38"/>
      <c r="E20" s="38"/>
      <c r="F20" s="38"/>
      <c r="G20" s="38"/>
      <c r="H20" s="38"/>
      <c r="I20" s="176" t="str">
        <f t="shared" si="3"/>
        <v>Placa electrónica PCB USB-C + Sensores</v>
      </c>
      <c r="J20" s="184">
        <v>1.0</v>
      </c>
      <c r="K20" s="185">
        <f t="shared" si="4"/>
        <v>6800</v>
      </c>
      <c r="L20" s="69">
        <f t="shared" si="5"/>
        <v>6800</v>
      </c>
      <c r="M20" s="38"/>
      <c r="N20" s="91"/>
      <c r="O20" s="27"/>
      <c r="P20" s="2"/>
      <c r="Q20" s="2"/>
      <c r="R20" s="2"/>
      <c r="S20" s="2"/>
      <c r="T20" s="2"/>
      <c r="U20" s="2"/>
      <c r="V20" s="2"/>
      <c r="W20" s="2"/>
      <c r="X20" s="2"/>
      <c r="Y20" s="2"/>
    </row>
    <row r="21" ht="13.5" customHeight="1">
      <c r="A21" s="27"/>
      <c r="B21" s="28"/>
      <c r="C21" s="186" t="s">
        <v>180</v>
      </c>
      <c r="D21" s="187"/>
      <c r="E21" s="188"/>
      <c r="F21" s="189">
        <f>Consideraciones!$D$18*(F17+F19)</f>
        <v>13451559.26</v>
      </c>
      <c r="G21" s="38"/>
      <c r="H21" s="38"/>
      <c r="I21" s="176" t="str">
        <f t="shared" si="3"/>
        <v>Resistencia calefactora (Thin-Film)</v>
      </c>
      <c r="J21" s="184">
        <v>1.0</v>
      </c>
      <c r="K21" s="185">
        <f t="shared" si="4"/>
        <v>3500</v>
      </c>
      <c r="L21" s="69">
        <f t="shared" si="5"/>
        <v>3500</v>
      </c>
      <c r="M21" s="38"/>
      <c r="N21" s="91"/>
      <c r="O21" s="27"/>
      <c r="P21" s="2"/>
      <c r="Q21" s="2"/>
      <c r="R21" s="2"/>
      <c r="S21" s="2"/>
      <c r="T21" s="2"/>
      <c r="U21" s="2"/>
      <c r="V21" s="2"/>
      <c r="W21" s="2"/>
      <c r="X21" s="2"/>
      <c r="Y21" s="2"/>
    </row>
    <row r="22" ht="13.5" customHeight="1">
      <c r="A22" s="27"/>
      <c r="B22" s="28"/>
      <c r="C22" s="38"/>
      <c r="D22" s="38"/>
      <c r="E22" s="38"/>
      <c r="F22" s="38"/>
      <c r="G22" s="38"/>
      <c r="H22" s="38"/>
      <c r="I22" s="176" t="str">
        <f t="shared" si="3"/>
        <v>Tapón cebador polímero + Juntas</v>
      </c>
      <c r="J22" s="184">
        <v>1.0</v>
      </c>
      <c r="K22" s="185">
        <f t="shared" si="4"/>
        <v>1500</v>
      </c>
      <c r="L22" s="69">
        <f t="shared" si="5"/>
        <v>1500</v>
      </c>
      <c r="M22" s="38"/>
      <c r="N22" s="91"/>
      <c r="O22" s="27"/>
      <c r="P22" s="2"/>
      <c r="Q22" s="2"/>
      <c r="R22" s="2"/>
      <c r="S22" s="2"/>
      <c r="T22" s="2"/>
      <c r="U22" s="2"/>
      <c r="V22" s="2"/>
      <c r="W22" s="2"/>
      <c r="X22" s="2"/>
      <c r="Y22" s="2"/>
    </row>
    <row r="23" ht="13.5" customHeight="1">
      <c r="A23" s="27"/>
      <c r="B23" s="28"/>
      <c r="C23" s="38"/>
      <c r="D23" s="38"/>
      <c r="E23" s="38"/>
      <c r="F23" s="38"/>
      <c r="G23" s="38"/>
      <c r="H23" s="38"/>
      <c r="I23" s="176" t="str">
        <f t="shared" si="3"/>
        <v>Packaging premium alto impacto</v>
      </c>
      <c r="J23" s="184">
        <v>1.0</v>
      </c>
      <c r="K23" s="185">
        <f t="shared" si="4"/>
        <v>1000</v>
      </c>
      <c r="L23" s="69">
        <f t="shared" si="5"/>
        <v>1000</v>
      </c>
      <c r="M23" s="38"/>
      <c r="N23" s="91"/>
      <c r="O23" s="27"/>
      <c r="P23" s="2"/>
      <c r="Q23" s="2"/>
      <c r="R23" s="2"/>
      <c r="S23" s="2"/>
      <c r="T23" s="2"/>
      <c r="U23" s="2"/>
      <c r="V23" s="2"/>
      <c r="W23" s="2"/>
      <c r="X23" s="2"/>
      <c r="Y23" s="2"/>
    </row>
    <row r="24" ht="13.5" customHeight="1">
      <c r="A24" s="27"/>
      <c r="B24" s="28"/>
      <c r="C24" s="38"/>
      <c r="D24" s="38"/>
      <c r="E24" s="38"/>
      <c r="F24" s="38"/>
      <c r="G24" s="38"/>
      <c r="H24" s="38"/>
      <c r="I24" s="170" t="s">
        <v>170</v>
      </c>
      <c r="J24" s="184">
        <v>1.0</v>
      </c>
      <c r="K24" s="185">
        <f t="shared" si="4"/>
        <v>1800</v>
      </c>
      <c r="L24" s="185">
        <f t="shared" si="5"/>
        <v>1800</v>
      </c>
      <c r="M24" s="38"/>
      <c r="N24" s="91"/>
      <c r="O24" s="27"/>
      <c r="P24" s="2"/>
      <c r="Q24" s="2"/>
      <c r="R24" s="2"/>
      <c r="S24" s="2"/>
      <c r="T24" s="2"/>
      <c r="U24" s="2"/>
      <c r="V24" s="2"/>
      <c r="W24" s="2"/>
      <c r="X24" s="2"/>
      <c r="Y24" s="2"/>
    </row>
    <row r="25" ht="13.5" customHeight="1">
      <c r="A25" s="27"/>
      <c r="B25" s="28"/>
      <c r="C25" s="38"/>
      <c r="D25" s="38"/>
      <c r="E25" s="38"/>
      <c r="F25" s="38"/>
      <c r="G25" s="38"/>
      <c r="H25" s="38"/>
      <c r="I25" s="170" t="s">
        <v>171</v>
      </c>
      <c r="J25" s="184">
        <v>1.0</v>
      </c>
      <c r="K25" s="185">
        <f t="shared" si="4"/>
        <v>1500</v>
      </c>
      <c r="L25" s="69">
        <f t="shared" si="5"/>
        <v>1500</v>
      </c>
      <c r="M25" s="38"/>
      <c r="N25" s="91"/>
      <c r="O25" s="27"/>
      <c r="P25" s="2"/>
      <c r="Q25" s="2"/>
      <c r="R25" s="2"/>
      <c r="S25" s="2"/>
      <c r="T25" s="2"/>
      <c r="U25" s="2"/>
      <c r="V25" s="2"/>
      <c r="W25" s="2"/>
      <c r="X25" s="2"/>
      <c r="Y25" s="2"/>
    </row>
    <row r="26" ht="13.5" customHeight="1">
      <c r="A26" s="27"/>
      <c r="B26" s="28"/>
      <c r="C26" s="38"/>
      <c r="D26" s="38"/>
      <c r="E26" s="38"/>
      <c r="F26" s="38"/>
      <c r="G26" s="38"/>
      <c r="H26" s="38"/>
      <c r="I26" s="170" t="s">
        <v>172</v>
      </c>
      <c r="J26" s="184">
        <v>1.0</v>
      </c>
      <c r="K26" s="185">
        <f t="shared" si="4"/>
        <v>1000</v>
      </c>
      <c r="L26" s="69">
        <f t="shared" si="5"/>
        <v>1000</v>
      </c>
      <c r="M26" s="38"/>
      <c r="N26" s="91"/>
      <c r="O26" s="27"/>
      <c r="P26" s="2"/>
      <c r="Q26" s="2"/>
      <c r="R26" s="2"/>
      <c r="S26" s="2"/>
      <c r="T26" s="2"/>
      <c r="U26" s="2"/>
      <c r="V26" s="2"/>
      <c r="W26" s="2"/>
      <c r="X26" s="2"/>
      <c r="Y26" s="2"/>
    </row>
    <row r="27" ht="13.5" customHeight="1">
      <c r="A27" s="27"/>
      <c r="B27" s="28"/>
      <c r="C27" s="167" t="s">
        <v>181</v>
      </c>
      <c r="D27" s="38"/>
      <c r="E27" s="38"/>
      <c r="F27" s="38"/>
      <c r="G27" s="38"/>
      <c r="H27" s="38"/>
      <c r="I27" s="170" t="s">
        <v>173</v>
      </c>
      <c r="J27" s="184">
        <v>1.0</v>
      </c>
      <c r="K27" s="185">
        <f t="shared" si="4"/>
        <v>4800</v>
      </c>
      <c r="L27" s="69">
        <f t="shared" si="5"/>
        <v>4800</v>
      </c>
      <c r="M27" s="38"/>
      <c r="N27" s="91"/>
      <c r="O27" s="27"/>
      <c r="P27" s="2"/>
      <c r="Q27" s="2"/>
      <c r="R27" s="2"/>
      <c r="S27" s="2"/>
      <c r="T27" s="2"/>
      <c r="U27" s="2"/>
      <c r="V27" s="2"/>
      <c r="W27" s="2"/>
      <c r="X27" s="2"/>
      <c r="Y27" s="2"/>
    </row>
    <row r="28" ht="13.5" customHeight="1">
      <c r="A28" s="27"/>
      <c r="B28" s="28"/>
      <c r="C28" s="190" t="s">
        <v>182</v>
      </c>
      <c r="D28" s="191"/>
      <c r="E28" s="192"/>
      <c r="F28" s="193">
        <v>5704.17</v>
      </c>
      <c r="G28" s="38"/>
      <c r="H28" s="38"/>
      <c r="I28" s="38"/>
      <c r="J28" s="38"/>
      <c r="K28" s="38"/>
      <c r="L28" s="38"/>
      <c r="M28" s="38"/>
      <c r="N28" s="91"/>
      <c r="O28" s="27"/>
      <c r="P28" s="2"/>
      <c r="Q28" s="2"/>
      <c r="R28" s="2"/>
      <c r="S28" s="2"/>
      <c r="T28" s="2"/>
      <c r="U28" s="2"/>
      <c r="V28" s="2"/>
      <c r="W28" s="2"/>
      <c r="X28" s="2"/>
      <c r="Y28" s="2"/>
    </row>
    <row r="29" ht="13.5" customHeight="1">
      <c r="A29" s="27"/>
      <c r="B29" s="28"/>
      <c r="C29" s="190" t="s">
        <v>183</v>
      </c>
      <c r="D29" s="191"/>
      <c r="E29" s="192"/>
      <c r="F29" s="194">
        <v>2.0</v>
      </c>
      <c r="G29" s="195" t="s">
        <v>184</v>
      </c>
      <c r="H29" s="195"/>
      <c r="I29" s="177" t="s">
        <v>185</v>
      </c>
      <c r="J29" s="181"/>
      <c r="K29" s="182"/>
      <c r="L29" s="183">
        <f>SUM(L19:L27)</f>
        <v>27400</v>
      </c>
      <c r="M29" s="195" t="s">
        <v>186</v>
      </c>
      <c r="N29" s="91"/>
      <c r="O29" s="27"/>
      <c r="P29" s="2"/>
      <c r="Q29" s="2"/>
      <c r="R29" s="2"/>
      <c r="S29" s="2"/>
      <c r="T29" s="2"/>
      <c r="U29" s="2"/>
      <c r="V29" s="2"/>
      <c r="W29" s="2"/>
      <c r="X29" s="2"/>
      <c r="Y29" s="2"/>
    </row>
    <row r="30" ht="13.5" customHeight="1">
      <c r="A30" s="27"/>
      <c r="B30" s="28"/>
      <c r="C30" s="190" t="s">
        <v>187</v>
      </c>
      <c r="D30" s="191"/>
      <c r="E30" s="192"/>
      <c r="F30" s="194">
        <v>22.0</v>
      </c>
      <c r="G30" s="195" t="s">
        <v>188</v>
      </c>
      <c r="H30" s="195"/>
      <c r="I30" s="177" t="s">
        <v>189</v>
      </c>
      <c r="J30" s="181"/>
      <c r="K30" s="196"/>
      <c r="L30" s="197">
        <f>Mercado!H27</f>
        <v>4000</v>
      </c>
      <c r="M30" s="195" t="s">
        <v>190</v>
      </c>
      <c r="N30" s="91"/>
      <c r="O30" s="27"/>
      <c r="P30" s="2"/>
      <c r="Q30" s="2"/>
      <c r="R30" s="2"/>
      <c r="S30" s="2"/>
      <c r="T30" s="2"/>
      <c r="U30" s="2"/>
      <c r="V30" s="2"/>
      <c r="W30" s="2"/>
      <c r="X30" s="2"/>
      <c r="Y30" s="2"/>
    </row>
    <row r="31" ht="13.5" customHeight="1">
      <c r="A31" s="27"/>
      <c r="B31" s="28"/>
      <c r="C31" s="190" t="s">
        <v>42</v>
      </c>
      <c r="D31" s="191"/>
      <c r="E31" s="192"/>
      <c r="F31" s="198">
        <f>+Consideraciones!D10</f>
        <v>12</v>
      </c>
      <c r="G31" s="195" t="s">
        <v>191</v>
      </c>
      <c r="H31" s="195"/>
      <c r="I31" s="177" t="s">
        <v>192</v>
      </c>
      <c r="J31" s="181"/>
      <c r="K31" s="182"/>
      <c r="L31" s="183">
        <f>+L30*L29</f>
        <v>109600000</v>
      </c>
      <c r="M31" s="38"/>
      <c r="N31" s="91"/>
      <c r="O31" s="27"/>
      <c r="P31" s="2"/>
      <c r="Q31" s="2"/>
      <c r="R31" s="2"/>
      <c r="S31" s="2"/>
      <c r="T31" s="2"/>
      <c r="U31" s="2"/>
      <c r="V31" s="2"/>
      <c r="W31" s="2"/>
      <c r="X31" s="2"/>
      <c r="Y31" s="2"/>
    </row>
    <row r="32" ht="13.5" customHeight="1">
      <c r="A32" s="27"/>
      <c r="B32" s="28"/>
      <c r="C32" s="177" t="s">
        <v>193</v>
      </c>
      <c r="D32" s="181"/>
      <c r="E32" s="182"/>
      <c r="F32" s="183">
        <f>+F28*F29*F30*F31</f>
        <v>3011801.76</v>
      </c>
      <c r="G32" s="38"/>
      <c r="H32" s="38"/>
      <c r="I32" s="38"/>
      <c r="J32" s="199"/>
      <c r="K32" s="199"/>
      <c r="L32" s="199"/>
      <c r="M32" s="38"/>
      <c r="N32" s="91"/>
      <c r="O32" s="27"/>
      <c r="P32" s="2"/>
      <c r="Q32" s="2"/>
      <c r="R32" s="2"/>
      <c r="S32" s="2"/>
      <c r="T32" s="2"/>
      <c r="U32" s="2"/>
      <c r="V32" s="2"/>
      <c r="W32" s="2"/>
      <c r="X32" s="2"/>
      <c r="Y32" s="2"/>
    </row>
    <row r="33" ht="13.5" customHeight="1">
      <c r="A33" s="27"/>
      <c r="B33" s="28"/>
      <c r="C33" s="38"/>
      <c r="D33" s="38"/>
      <c r="E33" s="38"/>
      <c r="F33" s="38"/>
      <c r="G33" s="38"/>
      <c r="H33" s="38"/>
      <c r="I33" s="177" t="s">
        <v>194</v>
      </c>
      <c r="J33" s="181"/>
      <c r="K33" s="182"/>
      <c r="L33" s="183">
        <f>+L31+F34</f>
        <v>148482626.5</v>
      </c>
      <c r="M33" s="38"/>
      <c r="N33" s="91"/>
      <c r="O33" s="27"/>
      <c r="P33" s="2"/>
      <c r="Q33" s="2"/>
      <c r="R33" s="2"/>
      <c r="S33" s="2"/>
      <c r="T33" s="2"/>
      <c r="U33" s="2"/>
      <c r="V33" s="2"/>
      <c r="W33" s="2"/>
      <c r="X33" s="2"/>
      <c r="Y33" s="2"/>
    </row>
    <row r="34" ht="13.5" customHeight="1">
      <c r="A34" s="27"/>
      <c r="B34" s="28"/>
      <c r="C34" s="177" t="s">
        <v>195</v>
      </c>
      <c r="D34" s="181"/>
      <c r="E34" s="182"/>
      <c r="F34" s="183">
        <f>+F32+F21+F19+F17</f>
        <v>38882626.46</v>
      </c>
      <c r="G34" s="38"/>
      <c r="H34" s="38"/>
      <c r="I34" s="177" t="s">
        <v>196</v>
      </c>
      <c r="J34" s="181"/>
      <c r="K34" s="182"/>
      <c r="L34" s="183">
        <f>+L29+F35</f>
        <v>37120.65662</v>
      </c>
      <c r="M34" s="195" t="s">
        <v>186</v>
      </c>
      <c r="N34" s="91"/>
      <c r="O34" s="27"/>
      <c r="P34" s="2"/>
      <c r="Q34" s="2"/>
      <c r="R34" s="2"/>
      <c r="S34" s="2"/>
      <c r="T34" s="2"/>
      <c r="U34" s="2"/>
      <c r="V34" s="2"/>
      <c r="W34" s="2"/>
      <c r="X34" s="2"/>
      <c r="Y34" s="2"/>
    </row>
    <row r="35" ht="13.5" customHeight="1">
      <c r="A35" s="27"/>
      <c r="B35" s="28"/>
      <c r="C35" s="177" t="s">
        <v>197</v>
      </c>
      <c r="D35" s="181"/>
      <c r="E35" s="182"/>
      <c r="F35" s="183">
        <f>F34/Mercado!H27</f>
        <v>9720.656616</v>
      </c>
      <c r="G35" s="195" t="s">
        <v>198</v>
      </c>
      <c r="H35" s="195"/>
      <c r="I35" s="177" t="s">
        <v>199</v>
      </c>
      <c r="J35" s="181"/>
      <c r="K35" s="182"/>
      <c r="L35" s="200">
        <f>+L34/Mercado!F23</f>
        <v>0.2312813496</v>
      </c>
      <c r="M35" s="38"/>
      <c r="N35" s="91"/>
      <c r="O35" s="27"/>
      <c r="P35" s="2"/>
      <c r="Q35" s="2"/>
      <c r="R35" s="2"/>
      <c r="S35" s="2"/>
      <c r="T35" s="2"/>
      <c r="U35" s="2"/>
      <c r="V35" s="2"/>
      <c r="W35" s="2"/>
      <c r="X35" s="2"/>
      <c r="Y35" s="2"/>
    </row>
    <row r="36" ht="13.5" customHeight="1">
      <c r="A36" s="27"/>
      <c r="B36" s="28"/>
      <c r="C36" s="38"/>
      <c r="D36" s="38"/>
      <c r="E36" s="38"/>
      <c r="F36" s="38"/>
      <c r="G36" s="38"/>
      <c r="H36" s="38"/>
      <c r="I36" s="28"/>
      <c r="J36" s="28"/>
      <c r="K36" s="28"/>
      <c r="L36" s="28"/>
      <c r="M36" s="38"/>
      <c r="N36" s="91"/>
      <c r="O36" s="27"/>
      <c r="P36" s="2"/>
      <c r="Q36" s="2"/>
      <c r="R36" s="2"/>
      <c r="S36" s="2"/>
      <c r="T36" s="2"/>
      <c r="U36" s="2"/>
      <c r="V36" s="2"/>
      <c r="W36" s="2"/>
      <c r="X36" s="2"/>
      <c r="Y36" s="2"/>
    </row>
    <row r="37" ht="13.5" customHeight="1">
      <c r="A37" s="27"/>
      <c r="B37" s="27"/>
      <c r="C37" s="27"/>
      <c r="D37" s="27"/>
      <c r="E37" s="27"/>
      <c r="F37" s="27"/>
      <c r="G37" s="91"/>
      <c r="H37" s="91"/>
      <c r="I37" s="27"/>
      <c r="J37" s="27"/>
      <c r="K37" s="27"/>
      <c r="L37" s="27"/>
      <c r="M37" s="91"/>
      <c r="N37" s="91"/>
      <c r="O37" s="27"/>
      <c r="P37" s="2"/>
      <c r="Q37" s="2"/>
      <c r="R37" s="2"/>
      <c r="S37" s="2"/>
      <c r="T37" s="2"/>
      <c r="U37" s="2"/>
      <c r="V37" s="2"/>
      <c r="W37" s="2"/>
      <c r="X37" s="2"/>
      <c r="Y37" s="2"/>
    </row>
    <row r="38" ht="13.5" customHeight="1">
      <c r="A38" s="27"/>
      <c r="B38" s="27"/>
      <c r="C38" s="27"/>
      <c r="D38" s="27"/>
      <c r="E38" s="27"/>
      <c r="F38" s="27"/>
      <c r="G38" s="91"/>
      <c r="H38" s="91"/>
      <c r="I38" s="91"/>
      <c r="J38" s="91"/>
      <c r="K38" s="91"/>
      <c r="L38" s="201"/>
      <c r="M38" s="91"/>
      <c r="N38" s="91"/>
      <c r="O38" s="27"/>
      <c r="P38" s="2"/>
      <c r="Q38" s="2"/>
      <c r="R38" s="2"/>
      <c r="S38" s="2"/>
      <c r="T38" s="2"/>
      <c r="U38" s="2"/>
      <c r="V38" s="2"/>
      <c r="W38" s="2"/>
      <c r="X38" s="2"/>
      <c r="Y38" s="2"/>
    </row>
    <row r="39" ht="13.5" customHeight="1">
      <c r="A39" s="27"/>
      <c r="B39" s="27"/>
      <c r="C39" s="27"/>
      <c r="D39" s="27"/>
      <c r="E39" s="27"/>
      <c r="F39" s="27"/>
      <c r="G39" s="91"/>
      <c r="H39" s="91"/>
      <c r="I39" s="91"/>
      <c r="J39" s="91"/>
      <c r="K39" s="91"/>
      <c r="L39" s="91"/>
      <c r="M39" s="91"/>
      <c r="N39" s="91"/>
      <c r="O39" s="27"/>
      <c r="P39" s="2"/>
      <c r="Q39" s="2"/>
      <c r="R39" s="2"/>
      <c r="S39" s="2"/>
      <c r="T39" s="2"/>
      <c r="U39" s="2"/>
      <c r="V39" s="2"/>
      <c r="W39" s="2"/>
      <c r="X39" s="2"/>
      <c r="Y39" s="2"/>
    </row>
    <row r="40" ht="13.5" customHeight="1">
      <c r="A40" s="27"/>
      <c r="B40" s="27"/>
      <c r="C40" s="27"/>
      <c r="D40" s="27"/>
      <c r="E40" s="27"/>
      <c r="F40" s="27"/>
      <c r="G40" s="91"/>
      <c r="H40" s="91"/>
      <c r="I40" s="91"/>
      <c r="J40" s="91"/>
      <c r="K40" s="91"/>
      <c r="L40" s="91"/>
      <c r="M40" s="91"/>
      <c r="N40" s="91"/>
      <c r="O40" s="27"/>
      <c r="P40" s="2"/>
      <c r="Q40" s="2"/>
      <c r="R40" s="2"/>
      <c r="S40" s="2"/>
      <c r="T40" s="2"/>
      <c r="U40" s="2"/>
      <c r="V40" s="2"/>
      <c r="W40" s="2"/>
      <c r="X40" s="2"/>
      <c r="Y40" s="2"/>
    </row>
    <row r="41" ht="13.5" customHeight="1">
      <c r="A41" s="27"/>
      <c r="B41" s="27"/>
      <c r="C41" s="27"/>
      <c r="D41" s="27"/>
      <c r="E41" s="27"/>
      <c r="F41" s="27"/>
      <c r="G41" s="91"/>
      <c r="H41" s="91"/>
      <c r="I41" s="91"/>
      <c r="J41" s="91"/>
      <c r="K41" s="91"/>
      <c r="L41" s="91"/>
      <c r="M41" s="91"/>
      <c r="N41" s="91"/>
      <c r="O41" s="27"/>
      <c r="P41" s="2"/>
      <c r="Q41" s="2"/>
      <c r="R41" s="2"/>
      <c r="S41" s="2"/>
      <c r="T41" s="2"/>
      <c r="U41" s="2"/>
      <c r="V41" s="2"/>
      <c r="W41" s="2"/>
      <c r="X41" s="2"/>
      <c r="Y41" s="2"/>
    </row>
    <row r="42" ht="13.5" customHeight="1">
      <c r="A42" s="27"/>
      <c r="B42" s="27"/>
      <c r="C42" s="27"/>
      <c r="D42" s="27"/>
      <c r="E42" s="27"/>
      <c r="F42" s="27"/>
      <c r="G42" s="91"/>
      <c r="H42" s="91"/>
      <c r="I42" s="91"/>
      <c r="J42" s="91"/>
      <c r="K42" s="91"/>
      <c r="L42" s="91"/>
      <c r="M42" s="91"/>
      <c r="N42" s="91"/>
      <c r="O42" s="27"/>
      <c r="P42" s="2"/>
      <c r="Q42" s="2"/>
      <c r="R42" s="2"/>
      <c r="S42" s="2"/>
      <c r="T42" s="2"/>
      <c r="U42" s="2"/>
      <c r="V42" s="2"/>
      <c r="W42" s="2"/>
      <c r="X42" s="2"/>
      <c r="Y42" s="2"/>
    </row>
    <row r="43" ht="13.5" customHeight="1">
      <c r="A43" s="27"/>
      <c r="B43" s="27"/>
      <c r="C43" s="27"/>
      <c r="D43" s="27"/>
      <c r="E43" s="27"/>
      <c r="F43" s="27"/>
      <c r="G43" s="91"/>
      <c r="H43" s="91"/>
      <c r="I43" s="91"/>
      <c r="J43" s="91"/>
      <c r="K43" s="91"/>
      <c r="L43" s="91"/>
      <c r="M43" s="91"/>
      <c r="N43" s="91"/>
      <c r="O43" s="27"/>
      <c r="P43" s="2"/>
      <c r="Q43" s="2"/>
      <c r="R43" s="2"/>
      <c r="S43" s="2"/>
      <c r="T43" s="2"/>
      <c r="U43" s="2"/>
      <c r="V43" s="2"/>
      <c r="W43" s="2"/>
      <c r="X43" s="2"/>
      <c r="Y43" s="2"/>
    </row>
    <row r="44" ht="14.25" customHeight="1">
      <c r="A44" s="27"/>
      <c r="B44" s="27"/>
      <c r="C44" s="27"/>
      <c r="D44" s="27"/>
      <c r="E44" s="27"/>
      <c r="F44" s="27"/>
      <c r="G44" s="91"/>
      <c r="H44" s="91"/>
      <c r="I44" s="91"/>
      <c r="J44" s="91"/>
      <c r="K44" s="91"/>
      <c r="L44" s="91"/>
      <c r="M44" s="91"/>
      <c r="N44" s="91"/>
      <c r="O44" s="27"/>
      <c r="P44" s="2"/>
      <c r="Q44" s="2"/>
      <c r="R44" s="2"/>
      <c r="S44" s="2"/>
      <c r="T44" s="2"/>
      <c r="U44" s="2"/>
      <c r="V44" s="2"/>
      <c r="W44" s="2"/>
      <c r="X44" s="2"/>
      <c r="Y44" s="2"/>
    </row>
    <row r="45" ht="13.5" customHeight="1">
      <c r="A45" s="27"/>
      <c r="B45" s="27"/>
      <c r="C45" s="27"/>
      <c r="D45" s="27"/>
      <c r="E45" s="27"/>
      <c r="F45" s="27"/>
      <c r="G45" s="91"/>
      <c r="H45" s="91"/>
      <c r="I45" s="91"/>
      <c r="J45" s="91"/>
      <c r="K45" s="91"/>
      <c r="L45" s="91"/>
      <c r="M45" s="91"/>
      <c r="N45" s="91"/>
      <c r="O45" s="27"/>
      <c r="P45" s="2"/>
      <c r="Q45" s="2"/>
      <c r="R45" s="2"/>
      <c r="S45" s="2"/>
      <c r="T45" s="2"/>
      <c r="U45" s="2"/>
      <c r="V45" s="2"/>
      <c r="W45" s="2"/>
      <c r="X45" s="2"/>
      <c r="Y45" s="2"/>
    </row>
    <row r="46" ht="13.5" customHeight="1">
      <c r="A46" s="27"/>
      <c r="B46" s="27"/>
      <c r="C46" s="27"/>
      <c r="D46" s="27"/>
      <c r="E46" s="27"/>
      <c r="F46" s="27"/>
      <c r="G46" s="91"/>
      <c r="H46" s="91"/>
      <c r="I46" s="91"/>
      <c r="J46" s="91"/>
      <c r="K46" s="91"/>
      <c r="L46" s="91"/>
      <c r="M46" s="91"/>
      <c r="N46" s="91"/>
      <c r="O46" s="27"/>
      <c r="P46" s="2"/>
      <c r="Q46" s="2"/>
      <c r="R46" s="2"/>
      <c r="S46" s="2"/>
      <c r="T46" s="2"/>
      <c r="U46" s="2"/>
      <c r="V46" s="2"/>
      <c r="W46" s="2"/>
      <c r="X46" s="2"/>
      <c r="Y46" s="2"/>
    </row>
    <row r="47" ht="13.5" customHeight="1">
      <c r="A47" s="27"/>
      <c r="B47" s="27"/>
      <c r="C47" s="27"/>
      <c r="D47" s="27"/>
      <c r="E47" s="27"/>
      <c r="F47" s="27"/>
      <c r="G47" s="91"/>
      <c r="H47" s="91"/>
      <c r="I47" s="91"/>
      <c r="J47" s="91"/>
      <c r="K47" s="91"/>
      <c r="L47" s="91"/>
      <c r="M47" s="91"/>
      <c r="N47" s="91"/>
      <c r="O47" s="27"/>
      <c r="P47" s="2"/>
      <c r="Q47" s="2"/>
      <c r="R47" s="2"/>
      <c r="S47" s="2"/>
      <c r="T47" s="2"/>
      <c r="U47" s="2"/>
      <c r="V47" s="2"/>
      <c r="W47" s="2"/>
      <c r="X47" s="2"/>
      <c r="Y47" s="2"/>
    </row>
    <row r="48" ht="13.5" customHeight="1">
      <c r="A48" s="27"/>
      <c r="B48" s="27"/>
      <c r="C48" s="27"/>
      <c r="D48" s="27"/>
      <c r="E48" s="27"/>
      <c r="F48" s="27"/>
      <c r="G48" s="91"/>
      <c r="H48" s="91"/>
      <c r="I48" s="91"/>
      <c r="J48" s="91"/>
      <c r="K48" s="91"/>
      <c r="L48" s="91"/>
      <c r="M48" s="91"/>
      <c r="N48" s="91"/>
      <c r="O48" s="27"/>
      <c r="P48" s="2"/>
      <c r="Q48" s="2"/>
      <c r="R48" s="2"/>
      <c r="S48" s="2"/>
      <c r="T48" s="2"/>
      <c r="U48" s="2"/>
      <c r="V48" s="2"/>
      <c r="W48" s="2"/>
      <c r="X48" s="2"/>
      <c r="Y48" s="2"/>
    </row>
    <row r="49" ht="13.5" customHeight="1">
      <c r="A49" s="27"/>
      <c r="B49" s="27"/>
      <c r="C49" s="27"/>
      <c r="D49" s="27"/>
      <c r="E49" s="27"/>
      <c r="F49" s="27"/>
      <c r="G49" s="91"/>
      <c r="H49" s="91"/>
      <c r="I49" s="91"/>
      <c r="J49" s="91"/>
      <c r="K49" s="91"/>
      <c r="L49" s="91"/>
      <c r="M49" s="91"/>
      <c r="N49" s="91"/>
      <c r="O49" s="27"/>
      <c r="P49" s="2"/>
      <c r="Q49" s="2"/>
      <c r="R49" s="2"/>
      <c r="S49" s="2"/>
      <c r="T49" s="2"/>
      <c r="U49" s="2"/>
      <c r="V49" s="2"/>
      <c r="W49" s="2"/>
      <c r="X49" s="2"/>
      <c r="Y49" s="2"/>
    </row>
    <row r="50" ht="13.5" customHeight="1">
      <c r="A50" s="27"/>
      <c r="B50" s="27"/>
      <c r="C50" s="27"/>
      <c r="D50" s="27"/>
      <c r="E50" s="27"/>
      <c r="F50" s="27"/>
      <c r="G50" s="202"/>
      <c r="H50" s="202"/>
      <c r="I50" s="202"/>
      <c r="J50" s="91"/>
      <c r="K50" s="91"/>
      <c r="L50" s="91"/>
      <c r="M50" s="91"/>
      <c r="N50" s="91"/>
      <c r="O50" s="27"/>
      <c r="P50" s="2"/>
      <c r="Q50" s="2"/>
      <c r="R50" s="2"/>
      <c r="S50" s="2"/>
      <c r="T50" s="2"/>
      <c r="U50" s="2"/>
      <c r="V50" s="2"/>
      <c r="W50" s="2"/>
      <c r="X50" s="2"/>
      <c r="Y50" s="2"/>
    </row>
    <row r="51" ht="13.5" customHeight="1">
      <c r="A51" s="27"/>
      <c r="B51" s="27"/>
      <c r="C51" s="27"/>
      <c r="D51" s="27"/>
      <c r="E51" s="27"/>
      <c r="F51" s="27"/>
      <c r="G51" s="91"/>
      <c r="H51" s="91"/>
      <c r="I51" s="91"/>
      <c r="J51" s="91"/>
      <c r="K51" s="91"/>
      <c r="L51" s="91"/>
      <c r="M51" s="91"/>
      <c r="N51" s="91"/>
      <c r="O51" s="27"/>
      <c r="P51" s="2"/>
      <c r="Q51" s="2"/>
      <c r="R51" s="2"/>
      <c r="S51" s="2"/>
      <c r="T51" s="2"/>
      <c r="U51" s="2"/>
      <c r="V51" s="2"/>
      <c r="W51" s="2"/>
      <c r="X51" s="2"/>
      <c r="Y51" s="2"/>
    </row>
    <row r="52" ht="13.5" customHeight="1">
      <c r="A52" s="27"/>
      <c r="B52" s="27"/>
      <c r="C52" s="27"/>
      <c r="D52" s="27"/>
      <c r="E52" s="27"/>
      <c r="F52" s="27"/>
      <c r="G52" s="91"/>
      <c r="H52" s="91"/>
      <c r="I52" s="91"/>
      <c r="J52" s="91"/>
      <c r="K52" s="91"/>
      <c r="L52" s="91"/>
      <c r="M52" s="91"/>
      <c r="N52" s="91"/>
      <c r="O52" s="27"/>
      <c r="P52" s="2"/>
      <c r="Q52" s="2"/>
      <c r="R52" s="2"/>
      <c r="S52" s="2"/>
      <c r="T52" s="2"/>
      <c r="U52" s="2"/>
      <c r="V52" s="2"/>
      <c r="W52" s="2"/>
      <c r="X52" s="2"/>
      <c r="Y52" s="2"/>
    </row>
    <row r="53" ht="13.5" customHeight="1">
      <c r="A53" s="27"/>
      <c r="B53" s="27"/>
      <c r="C53" s="27"/>
      <c r="D53" s="27"/>
      <c r="E53" s="27"/>
      <c r="F53" s="27"/>
      <c r="G53" s="91"/>
      <c r="H53" s="91"/>
      <c r="I53" s="91"/>
      <c r="J53" s="91"/>
      <c r="K53" s="91"/>
      <c r="L53" s="91"/>
      <c r="M53" s="91"/>
      <c r="N53" s="91"/>
      <c r="O53" s="27"/>
      <c r="P53" s="2"/>
      <c r="Q53" s="2"/>
      <c r="R53" s="2"/>
      <c r="S53" s="2"/>
      <c r="T53" s="2"/>
      <c r="U53" s="2"/>
      <c r="V53" s="2"/>
      <c r="W53" s="2"/>
      <c r="X53" s="2"/>
      <c r="Y53" s="2"/>
    </row>
    <row r="54" ht="13.5" customHeight="1">
      <c r="A54" s="27"/>
      <c r="B54" s="27"/>
      <c r="C54" s="27"/>
      <c r="D54" s="27"/>
      <c r="E54" s="27"/>
      <c r="F54" s="27"/>
      <c r="G54" s="203"/>
      <c r="H54" s="203"/>
      <c r="I54" s="91"/>
      <c r="J54" s="91"/>
      <c r="K54" s="91"/>
      <c r="L54" s="91"/>
      <c r="M54" s="91"/>
      <c r="N54" s="91"/>
      <c r="O54" s="27"/>
      <c r="P54" s="2"/>
      <c r="Q54" s="2"/>
      <c r="R54" s="2"/>
      <c r="S54" s="2"/>
      <c r="T54" s="2"/>
      <c r="U54" s="2"/>
      <c r="V54" s="2"/>
      <c r="W54" s="2"/>
      <c r="X54" s="2"/>
      <c r="Y54" s="2"/>
    </row>
    <row r="55" ht="13.5" customHeight="1">
      <c r="A55" s="27"/>
      <c r="B55" s="27"/>
      <c r="C55" s="27"/>
      <c r="D55" s="27"/>
      <c r="E55" s="27"/>
      <c r="F55" s="27"/>
      <c r="G55" s="91"/>
      <c r="H55" s="91"/>
      <c r="I55" s="91"/>
      <c r="J55" s="91"/>
      <c r="K55" s="91"/>
      <c r="L55" s="91"/>
      <c r="M55" s="91"/>
      <c r="N55" s="91"/>
      <c r="O55" s="27"/>
      <c r="P55" s="2"/>
      <c r="Q55" s="2"/>
      <c r="R55" s="2"/>
      <c r="S55" s="2"/>
      <c r="T55" s="2"/>
      <c r="U55" s="2"/>
      <c r="V55" s="2"/>
      <c r="W55" s="2"/>
      <c r="X55" s="2"/>
      <c r="Y55" s="2"/>
    </row>
    <row r="56" ht="13.5" customHeight="1">
      <c r="A56" s="27"/>
      <c r="B56" s="27"/>
      <c r="C56" s="27"/>
      <c r="D56" s="27"/>
      <c r="E56" s="27"/>
      <c r="F56" s="27"/>
      <c r="G56" s="91"/>
      <c r="H56" s="91"/>
      <c r="I56" s="91"/>
      <c r="J56" s="91"/>
      <c r="K56" s="91"/>
      <c r="L56" s="91"/>
      <c r="M56" s="91"/>
      <c r="N56" s="91"/>
      <c r="O56" s="27"/>
      <c r="P56" s="2"/>
      <c r="Q56" s="2"/>
      <c r="R56" s="2"/>
      <c r="S56" s="2"/>
      <c r="T56" s="2"/>
      <c r="U56" s="2"/>
      <c r="V56" s="2"/>
      <c r="W56" s="2"/>
      <c r="X56" s="2"/>
      <c r="Y56" s="2"/>
    </row>
    <row r="57" ht="13.5" customHeight="1">
      <c r="A57" s="27"/>
      <c r="B57" s="27"/>
      <c r="C57" s="27"/>
      <c r="D57" s="27"/>
      <c r="E57" s="27"/>
      <c r="F57" s="27"/>
      <c r="G57" s="91"/>
      <c r="H57" s="91"/>
      <c r="I57" s="91"/>
      <c r="J57" s="91"/>
      <c r="K57" s="91"/>
      <c r="L57" s="91"/>
      <c r="M57" s="91"/>
      <c r="N57" s="91"/>
      <c r="O57" s="27"/>
      <c r="P57" s="2"/>
      <c r="Q57" s="2"/>
      <c r="R57" s="2"/>
      <c r="S57" s="2"/>
      <c r="T57" s="2"/>
      <c r="U57" s="2"/>
      <c r="V57" s="2"/>
      <c r="W57" s="2"/>
      <c r="X57" s="2"/>
      <c r="Y57" s="2"/>
    </row>
    <row r="58" ht="13.5" customHeight="1">
      <c r="A58" s="27"/>
      <c r="B58" s="27"/>
      <c r="C58" s="27"/>
      <c r="D58" s="27"/>
      <c r="E58" s="27"/>
      <c r="F58" s="27"/>
      <c r="G58" s="91"/>
      <c r="H58" s="91"/>
      <c r="I58" s="91"/>
      <c r="J58" s="91"/>
      <c r="K58" s="91"/>
      <c r="L58" s="91"/>
      <c r="M58" s="91"/>
      <c r="N58" s="91"/>
      <c r="O58" s="27"/>
      <c r="P58" s="2"/>
      <c r="Q58" s="2"/>
      <c r="R58" s="2"/>
      <c r="S58" s="2"/>
      <c r="T58" s="2"/>
      <c r="U58" s="2"/>
      <c r="V58" s="2"/>
      <c r="W58" s="2"/>
      <c r="X58" s="2"/>
      <c r="Y58" s="2"/>
    </row>
    <row r="59" ht="13.5" customHeight="1">
      <c r="A59" s="27"/>
      <c r="B59" s="27"/>
      <c r="C59" s="27"/>
      <c r="D59" s="27"/>
      <c r="E59" s="27"/>
      <c r="F59" s="27"/>
      <c r="G59" s="91"/>
      <c r="H59" s="91"/>
      <c r="I59" s="91"/>
      <c r="J59" s="91"/>
      <c r="K59" s="91"/>
      <c r="L59" s="91"/>
      <c r="M59" s="91"/>
      <c r="N59" s="91"/>
      <c r="O59" s="27"/>
      <c r="P59" s="2"/>
      <c r="Q59" s="2"/>
      <c r="R59" s="2"/>
      <c r="S59" s="2"/>
      <c r="T59" s="2"/>
      <c r="U59" s="2"/>
      <c r="V59" s="2"/>
      <c r="W59" s="2"/>
      <c r="X59" s="2"/>
      <c r="Y59" s="2"/>
    </row>
    <row r="60" ht="15.75" customHeight="1">
      <c r="A60" s="27"/>
      <c r="B60" s="27"/>
      <c r="C60" s="27"/>
      <c r="D60" s="27"/>
      <c r="E60" s="27"/>
      <c r="F60" s="27"/>
      <c r="G60" s="27"/>
      <c r="H60" s="27"/>
      <c r="I60" s="27"/>
      <c r="J60" s="27"/>
      <c r="K60" s="27"/>
      <c r="L60" s="27"/>
      <c r="M60" s="27"/>
      <c r="N60" s="27"/>
      <c r="O60" s="27"/>
      <c r="P60" s="2"/>
      <c r="Q60" s="2"/>
      <c r="R60" s="2"/>
      <c r="S60" s="2"/>
      <c r="T60" s="2"/>
      <c r="U60" s="2"/>
      <c r="V60" s="2"/>
      <c r="W60" s="2"/>
      <c r="X60" s="2"/>
      <c r="Y60" s="2"/>
    </row>
    <row r="61" ht="15.75" customHeight="1">
      <c r="A61" s="27"/>
      <c r="B61" s="27"/>
      <c r="C61" s="27"/>
      <c r="D61" s="27"/>
      <c r="E61" s="27"/>
      <c r="F61" s="27"/>
      <c r="G61" s="27"/>
      <c r="H61" s="27"/>
      <c r="I61" s="27"/>
      <c r="J61" s="27"/>
      <c r="K61" s="27"/>
      <c r="L61" s="27"/>
      <c r="M61" s="27"/>
      <c r="N61" s="27"/>
      <c r="O61" s="27"/>
      <c r="P61" s="2"/>
      <c r="Q61" s="2"/>
      <c r="R61" s="2"/>
      <c r="S61" s="2"/>
      <c r="T61" s="2"/>
      <c r="U61" s="2"/>
      <c r="V61" s="2"/>
      <c r="W61" s="2"/>
      <c r="X61" s="2"/>
      <c r="Y61" s="2"/>
    </row>
    <row r="62" ht="15.75" customHeight="1">
      <c r="A62" s="27"/>
      <c r="B62" s="27"/>
      <c r="C62" s="27"/>
      <c r="D62" s="27"/>
      <c r="E62" s="27"/>
      <c r="F62" s="27"/>
      <c r="G62" s="27"/>
      <c r="H62" s="27"/>
      <c r="I62" s="27"/>
      <c r="J62" s="27"/>
      <c r="K62" s="27"/>
      <c r="L62" s="27"/>
      <c r="M62" s="27"/>
      <c r="N62" s="27"/>
      <c r="O62" s="27"/>
      <c r="P62" s="2"/>
      <c r="Q62" s="2"/>
      <c r="R62" s="2"/>
      <c r="S62" s="2"/>
      <c r="T62" s="2"/>
      <c r="U62" s="2"/>
      <c r="V62" s="2"/>
      <c r="W62" s="2"/>
      <c r="X62" s="2"/>
      <c r="Y62" s="2"/>
    </row>
    <row r="63" ht="15.75" customHeight="1">
      <c r="A63" s="27"/>
      <c r="B63" s="27"/>
      <c r="C63" s="27"/>
      <c r="D63" s="27"/>
      <c r="E63" s="27"/>
      <c r="F63" s="27"/>
      <c r="G63" s="27"/>
      <c r="H63" s="27"/>
      <c r="I63" s="27"/>
      <c r="J63" s="27"/>
      <c r="K63" s="27"/>
      <c r="L63" s="27"/>
      <c r="M63" s="27"/>
      <c r="N63" s="27"/>
      <c r="O63" s="27"/>
      <c r="P63" s="2"/>
      <c r="Q63" s="2"/>
      <c r="R63" s="2"/>
      <c r="S63" s="2"/>
      <c r="T63" s="2"/>
      <c r="U63" s="2"/>
      <c r="V63" s="2"/>
      <c r="W63" s="2"/>
      <c r="X63" s="2"/>
      <c r="Y63" s="2"/>
    </row>
    <row r="64" ht="15.75" customHeight="1">
      <c r="A64" s="27"/>
      <c r="B64" s="27"/>
      <c r="C64" s="27"/>
      <c r="D64" s="27"/>
      <c r="E64" s="27"/>
      <c r="F64" s="27"/>
      <c r="G64" s="27"/>
      <c r="H64" s="27"/>
      <c r="I64" s="27"/>
      <c r="J64" s="27"/>
      <c r="K64" s="27"/>
      <c r="L64" s="27"/>
      <c r="M64" s="27"/>
      <c r="N64" s="27"/>
      <c r="O64" s="27"/>
      <c r="P64" s="2"/>
      <c r="Q64" s="2"/>
      <c r="R64" s="2"/>
      <c r="S64" s="2"/>
      <c r="T64" s="2"/>
      <c r="U64" s="2"/>
      <c r="V64" s="2"/>
      <c r="W64" s="2"/>
      <c r="X64" s="2"/>
      <c r="Y64" s="2"/>
    </row>
    <row r="65" ht="15.75" customHeight="1">
      <c r="A65" s="27"/>
      <c r="B65" s="27"/>
      <c r="C65" s="27"/>
      <c r="D65" s="27"/>
      <c r="E65" s="27"/>
      <c r="F65" s="27"/>
      <c r="G65" s="27"/>
      <c r="H65" s="27"/>
      <c r="I65" s="27"/>
      <c r="J65" s="27"/>
      <c r="K65" s="27"/>
      <c r="L65" s="27"/>
      <c r="M65" s="27"/>
      <c r="N65" s="27"/>
      <c r="O65" s="27"/>
      <c r="P65" s="2"/>
      <c r="Q65" s="2"/>
      <c r="R65" s="2"/>
      <c r="S65" s="2"/>
      <c r="T65" s="2"/>
      <c r="U65" s="2"/>
      <c r="V65" s="2"/>
      <c r="W65" s="2"/>
      <c r="X65" s="2"/>
      <c r="Y65" s="2"/>
    </row>
    <row r="66" ht="15.75" customHeight="1">
      <c r="A66" s="27"/>
      <c r="B66" s="27"/>
      <c r="C66" s="27"/>
      <c r="D66" s="27"/>
      <c r="E66" s="27"/>
      <c r="F66" s="27"/>
      <c r="G66" s="27"/>
      <c r="H66" s="27"/>
      <c r="I66" s="27"/>
      <c r="J66" s="27"/>
      <c r="K66" s="27"/>
      <c r="L66" s="27"/>
      <c r="M66" s="27"/>
      <c r="N66" s="27"/>
      <c r="O66" s="27"/>
      <c r="P66" s="2"/>
      <c r="Q66" s="2"/>
      <c r="R66" s="2"/>
      <c r="S66" s="2"/>
      <c r="T66" s="2"/>
      <c r="U66" s="2"/>
      <c r="V66" s="2"/>
      <c r="W66" s="2"/>
      <c r="X66" s="2"/>
      <c r="Y66" s="2"/>
    </row>
    <row r="67" ht="15.75" customHeight="1">
      <c r="A67" s="27"/>
      <c r="B67" s="27"/>
      <c r="C67" s="27"/>
      <c r="D67" s="27"/>
      <c r="E67" s="27"/>
      <c r="F67" s="27"/>
      <c r="G67" s="27"/>
      <c r="H67" s="27"/>
      <c r="I67" s="27"/>
      <c r="J67" s="27"/>
      <c r="K67" s="27"/>
      <c r="L67" s="27"/>
      <c r="M67" s="27"/>
      <c r="N67" s="27"/>
      <c r="O67" s="27"/>
      <c r="P67" s="2"/>
      <c r="Q67" s="2"/>
      <c r="R67" s="2"/>
      <c r="S67" s="2"/>
      <c r="T67" s="2"/>
      <c r="U67" s="2"/>
      <c r="V67" s="2"/>
      <c r="W67" s="2"/>
      <c r="X67" s="2"/>
      <c r="Y67" s="2"/>
    </row>
    <row r="68" ht="15.75" customHeight="1">
      <c r="A68" s="27"/>
      <c r="B68" s="27"/>
      <c r="C68" s="27"/>
      <c r="D68" s="27"/>
      <c r="E68" s="27"/>
      <c r="F68" s="27"/>
      <c r="G68" s="27"/>
      <c r="H68" s="27"/>
      <c r="I68" s="27"/>
      <c r="J68" s="27"/>
      <c r="K68" s="27"/>
      <c r="L68" s="27"/>
      <c r="M68" s="27"/>
      <c r="N68" s="27"/>
      <c r="O68" s="27"/>
      <c r="P68" s="2"/>
      <c r="Q68" s="2"/>
      <c r="R68" s="2"/>
      <c r="S68" s="2"/>
      <c r="T68" s="2"/>
      <c r="U68" s="2"/>
      <c r="V68" s="2"/>
      <c r="W68" s="2"/>
      <c r="X68" s="2"/>
      <c r="Y68" s="2"/>
    </row>
    <row r="69" ht="15.75" customHeight="1">
      <c r="A69" s="27"/>
      <c r="B69" s="27"/>
      <c r="C69" s="27"/>
      <c r="D69" s="27"/>
      <c r="E69" s="27"/>
      <c r="F69" s="27"/>
      <c r="G69" s="27"/>
      <c r="H69" s="27"/>
      <c r="I69" s="27"/>
      <c r="J69" s="27"/>
      <c r="K69" s="27"/>
      <c r="L69" s="27"/>
      <c r="M69" s="27"/>
      <c r="N69" s="27"/>
      <c r="O69" s="27"/>
      <c r="P69" s="2"/>
      <c r="Q69" s="2"/>
      <c r="R69" s="2"/>
      <c r="S69" s="2"/>
      <c r="T69" s="2"/>
      <c r="U69" s="2"/>
      <c r="V69" s="2"/>
      <c r="W69" s="2"/>
      <c r="X69" s="2"/>
      <c r="Y69" s="2"/>
    </row>
    <row r="70" ht="15.75" customHeight="1">
      <c r="A70" s="27"/>
      <c r="B70" s="27"/>
      <c r="C70" s="27"/>
      <c r="D70" s="27"/>
      <c r="E70" s="27"/>
      <c r="F70" s="27"/>
      <c r="G70" s="27"/>
      <c r="H70" s="27"/>
      <c r="I70" s="27"/>
      <c r="J70" s="27"/>
      <c r="K70" s="27"/>
      <c r="L70" s="27"/>
      <c r="M70" s="27"/>
      <c r="N70" s="27"/>
      <c r="O70" s="27"/>
      <c r="P70" s="2"/>
      <c r="Q70" s="2"/>
      <c r="R70" s="2"/>
      <c r="S70" s="2"/>
      <c r="T70" s="2"/>
      <c r="U70" s="2"/>
      <c r="V70" s="2"/>
      <c r="W70" s="2"/>
      <c r="X70" s="2"/>
      <c r="Y70" s="2"/>
    </row>
    <row r="71" ht="15.75" customHeight="1">
      <c r="A71" s="27"/>
      <c r="B71" s="27"/>
      <c r="C71" s="27"/>
      <c r="D71" s="27"/>
      <c r="E71" s="27"/>
      <c r="F71" s="27"/>
      <c r="G71" s="27"/>
      <c r="H71" s="27"/>
      <c r="I71" s="27"/>
      <c r="J71" s="27"/>
      <c r="K71" s="27"/>
      <c r="L71" s="27"/>
      <c r="M71" s="27"/>
      <c r="N71" s="27"/>
      <c r="O71" s="27"/>
      <c r="P71" s="2"/>
      <c r="Q71" s="2"/>
      <c r="R71" s="2"/>
      <c r="S71" s="2"/>
      <c r="T71" s="2"/>
      <c r="U71" s="2"/>
      <c r="V71" s="2"/>
      <c r="W71" s="2"/>
      <c r="X71" s="2"/>
      <c r="Y71" s="2"/>
    </row>
    <row r="72" ht="15.75" customHeight="1">
      <c r="A72" s="27"/>
      <c r="B72" s="27"/>
      <c r="C72" s="27"/>
      <c r="D72" s="27"/>
      <c r="E72" s="27"/>
      <c r="F72" s="27"/>
      <c r="G72" s="27"/>
      <c r="H72" s="27"/>
      <c r="I72" s="27"/>
      <c r="J72" s="27"/>
      <c r="K72" s="27"/>
      <c r="L72" s="27"/>
      <c r="M72" s="27"/>
      <c r="N72" s="27"/>
      <c r="O72" s="27"/>
      <c r="P72" s="2"/>
      <c r="Q72" s="2"/>
      <c r="R72" s="2"/>
      <c r="S72" s="2"/>
      <c r="T72" s="2"/>
      <c r="U72" s="2"/>
      <c r="V72" s="2"/>
      <c r="W72" s="2"/>
      <c r="X72" s="2"/>
      <c r="Y72" s="2"/>
    </row>
    <row r="73" ht="15.75" customHeight="1">
      <c r="A73" s="27"/>
      <c r="B73" s="27"/>
      <c r="C73" s="27"/>
      <c r="D73" s="27"/>
      <c r="E73" s="27"/>
      <c r="F73" s="27"/>
      <c r="G73" s="27"/>
      <c r="H73" s="27"/>
      <c r="I73" s="27"/>
      <c r="J73" s="27"/>
      <c r="K73" s="27"/>
      <c r="L73" s="27"/>
      <c r="M73" s="27"/>
      <c r="N73" s="27"/>
      <c r="O73" s="27"/>
      <c r="P73" s="2"/>
      <c r="Q73" s="2"/>
      <c r="R73" s="2"/>
      <c r="S73" s="2"/>
      <c r="T73" s="2"/>
      <c r="U73" s="2"/>
      <c r="V73" s="2"/>
      <c r="W73" s="2"/>
      <c r="X73" s="2"/>
      <c r="Y73" s="2"/>
    </row>
    <row r="74" ht="15.75" customHeight="1">
      <c r="A74" s="27"/>
      <c r="B74" s="27"/>
      <c r="C74" s="27"/>
      <c r="D74" s="27"/>
      <c r="E74" s="27"/>
      <c r="F74" s="27"/>
      <c r="G74" s="27"/>
      <c r="H74" s="27"/>
      <c r="I74" s="27"/>
      <c r="J74" s="27"/>
      <c r="K74" s="27"/>
      <c r="L74" s="27"/>
      <c r="M74" s="27"/>
      <c r="N74" s="27"/>
      <c r="O74" s="27"/>
      <c r="P74" s="2"/>
      <c r="Q74" s="2"/>
      <c r="R74" s="2"/>
      <c r="S74" s="2"/>
      <c r="T74" s="2"/>
      <c r="U74" s="2"/>
      <c r="V74" s="2"/>
      <c r="W74" s="2"/>
      <c r="X74" s="2"/>
      <c r="Y74" s="2"/>
    </row>
    <row r="75" ht="15.75" customHeight="1">
      <c r="A75" s="27"/>
      <c r="B75" s="27"/>
      <c r="C75" s="27"/>
      <c r="D75" s="27"/>
      <c r="E75" s="27"/>
      <c r="F75" s="27"/>
      <c r="G75" s="27"/>
      <c r="H75" s="27"/>
      <c r="I75" s="27"/>
      <c r="J75" s="27"/>
      <c r="K75" s="27"/>
      <c r="L75" s="27"/>
      <c r="M75" s="27"/>
      <c r="N75" s="27"/>
      <c r="O75" s="27"/>
      <c r="P75" s="2"/>
      <c r="Q75" s="2"/>
      <c r="R75" s="2"/>
      <c r="S75" s="2"/>
      <c r="T75" s="2"/>
      <c r="U75" s="2"/>
      <c r="V75" s="2"/>
      <c r="W75" s="2"/>
      <c r="X75" s="2"/>
      <c r="Y75" s="2"/>
    </row>
    <row r="76" ht="15.75" customHeight="1">
      <c r="A76" s="27"/>
      <c r="B76" s="27"/>
      <c r="C76" s="27"/>
      <c r="D76" s="27"/>
      <c r="E76" s="27"/>
      <c r="F76" s="27"/>
      <c r="G76" s="27"/>
      <c r="H76" s="27"/>
      <c r="I76" s="27"/>
      <c r="J76" s="27"/>
      <c r="K76" s="27"/>
      <c r="L76" s="27"/>
      <c r="M76" s="27"/>
      <c r="N76" s="27"/>
      <c r="O76" s="27"/>
      <c r="P76" s="2"/>
      <c r="Q76" s="2"/>
      <c r="R76" s="2"/>
      <c r="S76" s="2"/>
      <c r="T76" s="2"/>
      <c r="U76" s="2"/>
      <c r="V76" s="2"/>
      <c r="W76" s="2"/>
      <c r="X76" s="2"/>
      <c r="Y76" s="2"/>
    </row>
    <row r="77" ht="15.75" customHeight="1">
      <c r="A77" s="27"/>
      <c r="B77" s="27"/>
      <c r="C77" s="27"/>
      <c r="D77" s="27"/>
      <c r="E77" s="27"/>
      <c r="F77" s="27"/>
      <c r="G77" s="27"/>
      <c r="H77" s="27"/>
      <c r="I77" s="27"/>
      <c r="J77" s="27"/>
      <c r="K77" s="27"/>
      <c r="L77" s="27"/>
      <c r="M77" s="27"/>
      <c r="N77" s="27"/>
      <c r="O77" s="27"/>
      <c r="P77" s="2"/>
      <c r="Q77" s="2"/>
      <c r="R77" s="2"/>
      <c r="S77" s="2"/>
      <c r="T77" s="2"/>
      <c r="U77" s="2"/>
      <c r="V77" s="2"/>
      <c r="W77" s="2"/>
      <c r="X77" s="2"/>
      <c r="Y77" s="2"/>
    </row>
    <row r="78" ht="15.75" customHeight="1">
      <c r="A78" s="27"/>
      <c r="B78" s="27"/>
      <c r="C78" s="27"/>
      <c r="D78" s="27"/>
      <c r="E78" s="27"/>
      <c r="F78" s="27"/>
      <c r="G78" s="27"/>
      <c r="H78" s="27"/>
      <c r="I78" s="27"/>
      <c r="J78" s="27"/>
      <c r="K78" s="27"/>
      <c r="L78" s="27"/>
      <c r="M78" s="27"/>
      <c r="N78" s="27"/>
      <c r="O78" s="27"/>
      <c r="P78" s="2"/>
      <c r="Q78" s="2"/>
      <c r="R78" s="2"/>
      <c r="S78" s="2"/>
      <c r="T78" s="2"/>
      <c r="U78" s="2"/>
      <c r="V78" s="2"/>
      <c r="W78" s="2"/>
      <c r="X78" s="2"/>
      <c r="Y78" s="2"/>
    </row>
    <row r="79" ht="15.75" customHeight="1">
      <c r="A79" s="27"/>
      <c r="B79" s="27"/>
      <c r="C79" s="27"/>
      <c r="D79" s="27"/>
      <c r="E79" s="27"/>
      <c r="F79" s="27"/>
      <c r="G79" s="27"/>
      <c r="H79" s="27"/>
      <c r="I79" s="27"/>
      <c r="J79" s="27"/>
      <c r="K79" s="27"/>
      <c r="L79" s="27"/>
      <c r="M79" s="27"/>
      <c r="N79" s="27"/>
      <c r="O79" s="27"/>
      <c r="P79" s="2"/>
      <c r="Q79" s="2"/>
      <c r="R79" s="2"/>
      <c r="S79" s="2"/>
      <c r="T79" s="2"/>
      <c r="U79" s="2"/>
      <c r="V79" s="2"/>
      <c r="W79" s="2"/>
      <c r="X79" s="2"/>
      <c r="Y79" s="2"/>
    </row>
    <row r="80" ht="15.75" customHeight="1">
      <c r="A80" s="27"/>
      <c r="B80" s="27"/>
      <c r="C80" s="27"/>
      <c r="D80" s="27"/>
      <c r="E80" s="27"/>
      <c r="F80" s="27"/>
      <c r="G80" s="27"/>
      <c r="H80" s="27"/>
      <c r="I80" s="27"/>
      <c r="J80" s="27"/>
      <c r="K80" s="27"/>
      <c r="L80" s="27"/>
      <c r="M80" s="27"/>
      <c r="N80" s="27"/>
      <c r="O80" s="27"/>
      <c r="P80" s="2"/>
      <c r="Q80" s="2"/>
      <c r="R80" s="2"/>
      <c r="S80" s="2"/>
      <c r="T80" s="2"/>
      <c r="U80" s="2"/>
      <c r="V80" s="2"/>
      <c r="W80" s="2"/>
      <c r="X80" s="2"/>
      <c r="Y80" s="2"/>
    </row>
    <row r="81" ht="15.75" customHeight="1">
      <c r="A81" s="27"/>
      <c r="B81" s="27"/>
      <c r="C81" s="27"/>
      <c r="D81" s="27"/>
      <c r="E81" s="27"/>
      <c r="F81" s="27"/>
      <c r="G81" s="27"/>
      <c r="H81" s="27"/>
      <c r="I81" s="27"/>
      <c r="J81" s="27"/>
      <c r="K81" s="27"/>
      <c r="L81" s="27"/>
      <c r="M81" s="27"/>
      <c r="N81" s="27"/>
      <c r="O81" s="27"/>
      <c r="P81" s="2"/>
      <c r="Q81" s="2"/>
      <c r="R81" s="2"/>
      <c r="S81" s="2"/>
      <c r="T81" s="2"/>
      <c r="U81" s="2"/>
      <c r="V81" s="2"/>
      <c r="W81" s="2"/>
      <c r="X81" s="2"/>
      <c r="Y81" s="2"/>
    </row>
    <row r="82" ht="15.75" customHeight="1">
      <c r="A82" s="27"/>
      <c r="B82" s="27"/>
      <c r="C82" s="27"/>
      <c r="D82" s="27"/>
      <c r="E82" s="27"/>
      <c r="F82" s="27"/>
      <c r="G82" s="27"/>
      <c r="H82" s="27"/>
      <c r="I82" s="27"/>
      <c r="J82" s="27"/>
      <c r="K82" s="27"/>
      <c r="L82" s="27"/>
      <c r="M82" s="27"/>
      <c r="N82" s="27"/>
      <c r="O82" s="27"/>
      <c r="P82" s="2"/>
      <c r="Q82" s="2"/>
      <c r="R82" s="2"/>
      <c r="S82" s="2"/>
      <c r="T82" s="2"/>
      <c r="U82" s="2"/>
      <c r="V82" s="2"/>
      <c r="W82" s="2"/>
      <c r="X82" s="2"/>
      <c r="Y82" s="2"/>
    </row>
    <row r="83" ht="15.75" customHeight="1">
      <c r="A83" s="27"/>
      <c r="B83" s="27"/>
      <c r="C83" s="27"/>
      <c r="D83" s="27"/>
      <c r="E83" s="27"/>
      <c r="F83" s="27"/>
      <c r="G83" s="27"/>
      <c r="H83" s="27"/>
      <c r="I83" s="27"/>
      <c r="J83" s="27"/>
      <c r="K83" s="27"/>
      <c r="L83" s="27"/>
      <c r="M83" s="27"/>
      <c r="N83" s="27"/>
      <c r="O83" s="27"/>
      <c r="P83" s="2"/>
      <c r="Q83" s="2"/>
      <c r="R83" s="2"/>
      <c r="S83" s="2"/>
      <c r="T83" s="2"/>
      <c r="U83" s="2"/>
      <c r="V83" s="2"/>
      <c r="W83" s="2"/>
      <c r="X83" s="2"/>
      <c r="Y83" s="2"/>
    </row>
    <row r="84" ht="15.75" customHeight="1">
      <c r="A84" s="27"/>
      <c r="B84" s="27"/>
      <c r="C84" s="27"/>
      <c r="D84" s="27"/>
      <c r="E84" s="27"/>
      <c r="F84" s="27"/>
      <c r="G84" s="27"/>
      <c r="H84" s="27"/>
      <c r="I84" s="27"/>
      <c r="J84" s="27"/>
      <c r="K84" s="27"/>
      <c r="L84" s="27"/>
      <c r="M84" s="27"/>
      <c r="N84" s="27"/>
      <c r="O84" s="27"/>
      <c r="P84" s="2"/>
      <c r="Q84" s="2"/>
      <c r="R84" s="2"/>
      <c r="S84" s="2"/>
      <c r="T84" s="2"/>
      <c r="U84" s="2"/>
      <c r="V84" s="2"/>
      <c r="W84" s="2"/>
      <c r="X84" s="2"/>
      <c r="Y84" s="2"/>
    </row>
    <row r="85" ht="15.75" customHeight="1">
      <c r="A85" s="27"/>
      <c r="B85" s="27"/>
      <c r="C85" s="27"/>
      <c r="D85" s="27"/>
      <c r="E85" s="27"/>
      <c r="F85" s="27"/>
      <c r="G85" s="27"/>
      <c r="H85" s="27"/>
      <c r="I85" s="27"/>
      <c r="J85" s="27"/>
      <c r="K85" s="27"/>
      <c r="L85" s="27"/>
      <c r="M85" s="27"/>
      <c r="N85" s="27"/>
      <c r="O85" s="27"/>
      <c r="P85" s="2"/>
      <c r="Q85" s="2"/>
      <c r="R85" s="2"/>
      <c r="S85" s="2"/>
      <c r="T85" s="2"/>
      <c r="U85" s="2"/>
      <c r="V85" s="2"/>
      <c r="W85" s="2"/>
      <c r="X85" s="2"/>
      <c r="Y85" s="2"/>
    </row>
    <row r="86" ht="15.75" customHeight="1">
      <c r="A86" s="27"/>
      <c r="B86" s="27"/>
      <c r="C86" s="27"/>
      <c r="D86" s="27"/>
      <c r="E86" s="27"/>
      <c r="F86" s="27"/>
      <c r="G86" s="27"/>
      <c r="H86" s="27"/>
      <c r="I86" s="27"/>
      <c r="J86" s="27"/>
      <c r="K86" s="27"/>
      <c r="L86" s="27"/>
      <c r="M86" s="27"/>
      <c r="N86" s="27"/>
      <c r="O86" s="27"/>
      <c r="P86" s="2"/>
      <c r="Q86" s="2"/>
      <c r="R86" s="2"/>
      <c r="S86" s="2"/>
      <c r="T86" s="2"/>
      <c r="U86" s="2"/>
      <c r="V86" s="2"/>
      <c r="W86" s="2"/>
      <c r="X86" s="2"/>
      <c r="Y86" s="2"/>
    </row>
    <row r="87" ht="15.75" customHeight="1">
      <c r="A87" s="27"/>
      <c r="B87" s="27"/>
      <c r="C87" s="27"/>
      <c r="D87" s="27"/>
      <c r="E87" s="27"/>
      <c r="F87" s="27"/>
      <c r="G87" s="27"/>
      <c r="H87" s="27"/>
      <c r="I87" s="27"/>
      <c r="J87" s="27"/>
      <c r="K87" s="27"/>
      <c r="L87" s="27"/>
      <c r="M87" s="27"/>
      <c r="N87" s="27"/>
      <c r="O87" s="27"/>
      <c r="P87" s="2"/>
      <c r="Q87" s="2"/>
      <c r="R87" s="2"/>
      <c r="S87" s="2"/>
      <c r="T87" s="2"/>
      <c r="U87" s="2"/>
      <c r="V87" s="2"/>
      <c r="W87" s="2"/>
      <c r="X87" s="2"/>
      <c r="Y87" s="2"/>
    </row>
    <row r="88" ht="15.75" customHeight="1">
      <c r="A88" s="27"/>
      <c r="B88" s="27"/>
      <c r="C88" s="27"/>
      <c r="D88" s="27"/>
      <c r="E88" s="27"/>
      <c r="F88" s="27"/>
      <c r="G88" s="27"/>
      <c r="H88" s="27"/>
      <c r="I88" s="27"/>
      <c r="J88" s="27"/>
      <c r="K88" s="27"/>
      <c r="L88" s="27"/>
      <c r="M88" s="27"/>
      <c r="N88" s="27"/>
      <c r="O88" s="27"/>
      <c r="P88" s="2"/>
      <c r="Q88" s="2"/>
      <c r="R88" s="2"/>
      <c r="S88" s="2"/>
      <c r="T88" s="2"/>
      <c r="U88" s="2"/>
      <c r="V88" s="2"/>
      <c r="W88" s="2"/>
      <c r="X88" s="2"/>
      <c r="Y88" s="2"/>
    </row>
    <row r="89" ht="15.75" customHeight="1">
      <c r="A89" s="27"/>
      <c r="B89" s="27"/>
      <c r="C89" s="27"/>
      <c r="D89" s="27"/>
      <c r="E89" s="27"/>
      <c r="F89" s="27"/>
      <c r="G89" s="27"/>
      <c r="H89" s="27"/>
      <c r="I89" s="27"/>
      <c r="J89" s="27"/>
      <c r="K89" s="27"/>
      <c r="L89" s="27"/>
      <c r="M89" s="27"/>
      <c r="N89" s="27"/>
      <c r="O89" s="27"/>
      <c r="P89" s="2"/>
      <c r="Q89" s="2"/>
      <c r="R89" s="2"/>
      <c r="S89" s="2"/>
      <c r="T89" s="2"/>
      <c r="U89" s="2"/>
      <c r="V89" s="2"/>
      <c r="W89" s="2"/>
      <c r="X89" s="2"/>
      <c r="Y89" s="2"/>
    </row>
    <row r="90" ht="15.75" customHeight="1">
      <c r="A90" s="27"/>
      <c r="B90" s="27"/>
      <c r="C90" s="27"/>
      <c r="D90" s="27"/>
      <c r="E90" s="27"/>
      <c r="F90" s="27"/>
      <c r="G90" s="27"/>
      <c r="H90" s="27"/>
      <c r="I90" s="27"/>
      <c r="J90" s="27"/>
      <c r="K90" s="27"/>
      <c r="L90" s="27"/>
      <c r="M90" s="27"/>
      <c r="N90" s="27"/>
      <c r="O90" s="27"/>
      <c r="P90" s="2"/>
      <c r="Q90" s="2"/>
      <c r="R90" s="2"/>
      <c r="S90" s="2"/>
      <c r="T90" s="2"/>
      <c r="U90" s="2"/>
      <c r="V90" s="2"/>
      <c r="W90" s="2"/>
      <c r="X90" s="2"/>
      <c r="Y90" s="2"/>
    </row>
    <row r="91" ht="15.75" customHeight="1">
      <c r="A91" s="27"/>
      <c r="B91" s="27"/>
      <c r="C91" s="27"/>
      <c r="D91" s="27"/>
      <c r="E91" s="27"/>
      <c r="F91" s="27"/>
      <c r="G91" s="27"/>
      <c r="H91" s="27"/>
      <c r="I91" s="27"/>
      <c r="J91" s="27"/>
      <c r="K91" s="27"/>
      <c r="L91" s="27"/>
      <c r="M91" s="27"/>
      <c r="N91" s="27"/>
      <c r="O91" s="27"/>
      <c r="P91" s="2"/>
      <c r="Q91" s="2"/>
      <c r="R91" s="2"/>
      <c r="S91" s="2"/>
      <c r="T91" s="2"/>
      <c r="U91" s="2"/>
      <c r="V91" s="2"/>
      <c r="W91" s="2"/>
      <c r="X91" s="2"/>
      <c r="Y91" s="2"/>
    </row>
    <row r="92" ht="15.75" customHeight="1">
      <c r="A92" s="27"/>
      <c r="B92" s="27"/>
      <c r="C92" s="27"/>
      <c r="D92" s="27"/>
      <c r="E92" s="27"/>
      <c r="F92" s="27"/>
      <c r="G92" s="27"/>
      <c r="H92" s="27"/>
      <c r="I92" s="27"/>
      <c r="J92" s="27"/>
      <c r="K92" s="27"/>
      <c r="L92" s="27"/>
      <c r="M92" s="27"/>
      <c r="N92" s="27"/>
      <c r="O92" s="27"/>
      <c r="P92" s="2"/>
      <c r="Q92" s="2"/>
      <c r="R92" s="2"/>
      <c r="S92" s="2"/>
      <c r="T92" s="2"/>
      <c r="U92" s="2"/>
      <c r="V92" s="2"/>
      <c r="W92" s="2"/>
      <c r="X92" s="2"/>
      <c r="Y92" s="2"/>
    </row>
    <row r="93" ht="15.75" customHeight="1">
      <c r="A93" s="27"/>
      <c r="B93" s="27"/>
      <c r="C93" s="27"/>
      <c r="D93" s="27"/>
      <c r="E93" s="27"/>
      <c r="F93" s="27"/>
      <c r="G93" s="27"/>
      <c r="H93" s="27"/>
      <c r="I93" s="27"/>
      <c r="J93" s="27"/>
      <c r="K93" s="27"/>
      <c r="L93" s="27"/>
      <c r="M93" s="27"/>
      <c r="N93" s="27"/>
      <c r="O93" s="27"/>
      <c r="P93" s="2"/>
      <c r="Q93" s="2"/>
      <c r="R93" s="2"/>
      <c r="S93" s="2"/>
      <c r="T93" s="2"/>
      <c r="U93" s="2"/>
      <c r="V93" s="2"/>
      <c r="W93" s="2"/>
      <c r="X93" s="2"/>
      <c r="Y93" s="2"/>
    </row>
    <row r="94" ht="15.75" customHeight="1">
      <c r="A94" s="27"/>
      <c r="B94" s="27"/>
      <c r="C94" s="27"/>
      <c r="D94" s="27"/>
      <c r="E94" s="27"/>
      <c r="F94" s="27"/>
      <c r="G94" s="27"/>
      <c r="H94" s="27"/>
      <c r="I94" s="204"/>
      <c r="J94" s="27"/>
      <c r="K94" s="27"/>
      <c r="L94" s="27"/>
      <c r="M94" s="27"/>
      <c r="N94" s="27"/>
      <c r="O94" s="27"/>
      <c r="P94" s="2"/>
      <c r="Q94" s="2"/>
      <c r="R94" s="2"/>
      <c r="S94" s="2"/>
      <c r="T94" s="2"/>
      <c r="U94" s="2"/>
      <c r="V94" s="2"/>
      <c r="W94" s="2"/>
      <c r="X94" s="2"/>
      <c r="Y94" s="2"/>
    </row>
    <row r="95" ht="15.75" customHeight="1">
      <c r="A95" s="27"/>
      <c r="B95" s="27"/>
      <c r="C95" s="27"/>
      <c r="D95" s="27"/>
      <c r="E95" s="27"/>
      <c r="F95" s="27"/>
      <c r="G95" s="27"/>
      <c r="H95" s="27"/>
      <c r="I95" s="27"/>
      <c r="J95" s="27"/>
      <c r="K95" s="27"/>
      <c r="L95" s="27"/>
      <c r="M95" s="27"/>
      <c r="N95" s="27"/>
      <c r="O95" s="27"/>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1" width="3.14"/>
    <col customWidth="1" min="2" max="2" width="3.43"/>
    <col customWidth="1" min="3" max="3" width="36.71"/>
    <col customWidth="1" min="4" max="4" width="16.29"/>
    <col customWidth="1" min="5" max="5" width="12.71"/>
    <col customWidth="1" min="6" max="6" width="14.57"/>
    <col customWidth="1" min="7" max="7" width="10.29"/>
    <col customWidth="1" min="8" max="8" width="31.14"/>
    <col customWidth="1" min="9" max="9" width="6.71"/>
    <col customWidth="1" min="10" max="10" width="8.0"/>
    <col customWidth="1" min="11" max="11" width="28.57"/>
    <col customWidth="1" min="12" max="12" width="14.57"/>
    <col customWidth="1" min="13" max="13" width="11.57"/>
    <col customWidth="1" min="14" max="16" width="12.14"/>
    <col customWidth="1" min="17" max="26" width="17.29"/>
  </cols>
  <sheetData>
    <row r="1" ht="15.75" customHeight="1">
      <c r="A1" s="27"/>
      <c r="B1" s="27"/>
      <c r="C1" s="27"/>
      <c r="D1" s="27"/>
      <c r="E1" s="27"/>
      <c r="F1" s="27"/>
      <c r="G1" s="27"/>
      <c r="H1" s="27"/>
      <c r="I1" s="27"/>
      <c r="J1" s="27"/>
      <c r="K1" s="27"/>
      <c r="L1" s="27"/>
      <c r="M1" s="27"/>
      <c r="N1" s="27"/>
      <c r="O1" s="27"/>
      <c r="P1" s="27"/>
      <c r="Q1" s="27"/>
      <c r="R1" s="2"/>
      <c r="S1" s="2"/>
      <c r="T1" s="2"/>
      <c r="U1" s="2"/>
      <c r="V1" s="2"/>
      <c r="W1" s="2"/>
      <c r="X1" s="2"/>
      <c r="Y1" s="2"/>
      <c r="Z1" s="2"/>
    </row>
    <row r="2" ht="15.75" customHeight="1">
      <c r="A2" s="27"/>
      <c r="B2" s="28"/>
      <c r="C2" s="28"/>
      <c r="D2" s="28"/>
      <c r="E2" s="28"/>
      <c r="F2" s="28"/>
      <c r="G2" s="28"/>
      <c r="H2" s="28"/>
      <c r="I2" s="28"/>
      <c r="J2" s="28"/>
      <c r="K2" s="28"/>
      <c r="L2" s="28"/>
      <c r="M2" s="28"/>
      <c r="N2" s="27"/>
      <c r="O2" s="27"/>
      <c r="P2" s="27"/>
      <c r="Q2" s="27"/>
      <c r="R2" s="2"/>
      <c r="S2" s="2"/>
      <c r="T2" s="2"/>
      <c r="U2" s="2"/>
      <c r="V2" s="2"/>
      <c r="W2" s="2"/>
      <c r="X2" s="2"/>
      <c r="Y2" s="2"/>
      <c r="Z2" s="2"/>
    </row>
    <row r="3" ht="15.75" customHeight="1">
      <c r="A3" s="27"/>
      <c r="B3" s="28"/>
      <c r="C3" s="165" t="s">
        <v>200</v>
      </c>
      <c r="D3" s="28"/>
      <c r="E3" s="28"/>
      <c r="F3" s="28"/>
      <c r="G3" s="28"/>
      <c r="H3" s="28"/>
      <c r="I3" s="28"/>
      <c r="J3" s="28"/>
      <c r="K3" s="28"/>
      <c r="L3" s="28"/>
      <c r="M3" s="28"/>
      <c r="N3" s="27"/>
      <c r="O3" s="27"/>
      <c r="P3" s="27"/>
      <c r="Q3" s="27"/>
      <c r="R3" s="2"/>
      <c r="S3" s="2"/>
      <c r="T3" s="2"/>
      <c r="U3" s="2"/>
      <c r="V3" s="2"/>
      <c r="W3" s="2"/>
      <c r="X3" s="2"/>
      <c r="Y3" s="2"/>
      <c r="Z3" s="2"/>
    </row>
    <row r="4" ht="15.75" customHeight="1">
      <c r="A4" s="27"/>
      <c r="B4" s="28"/>
      <c r="C4" s="165"/>
      <c r="D4" s="28"/>
      <c r="E4" s="28"/>
      <c r="F4" s="28"/>
      <c r="G4" s="28"/>
      <c r="H4" s="28"/>
      <c r="I4" s="28"/>
      <c r="J4" s="28"/>
      <c r="K4" s="28"/>
      <c r="L4" s="28"/>
      <c r="M4" s="28"/>
      <c r="N4" s="27"/>
      <c r="O4" s="27"/>
      <c r="P4" s="27"/>
      <c r="Q4" s="27"/>
      <c r="R4" s="2"/>
      <c r="S4" s="2"/>
      <c r="T4" s="2"/>
      <c r="U4" s="2"/>
      <c r="V4" s="2"/>
      <c r="W4" s="2"/>
      <c r="X4" s="2"/>
      <c r="Y4" s="2"/>
      <c r="Z4" s="2"/>
    </row>
    <row r="5" ht="15.75" customHeight="1">
      <c r="A5" s="27"/>
      <c r="B5" s="28"/>
      <c r="C5" s="167" t="s">
        <v>201</v>
      </c>
      <c r="D5" s="28"/>
      <c r="E5" s="28"/>
      <c r="F5" s="28"/>
      <c r="G5" s="28"/>
      <c r="H5" s="167" t="s">
        <v>202</v>
      </c>
      <c r="I5" s="167"/>
      <c r="J5" s="28"/>
      <c r="K5" s="38"/>
      <c r="L5" s="38"/>
      <c r="M5" s="28"/>
      <c r="N5" s="27"/>
      <c r="O5" s="27"/>
      <c r="P5" s="205"/>
      <c r="Q5" s="27"/>
      <c r="R5" s="2"/>
      <c r="S5" s="2"/>
      <c r="T5" s="2"/>
      <c r="U5" s="2"/>
      <c r="V5" s="2"/>
      <c r="W5" s="2"/>
      <c r="X5" s="2"/>
      <c r="Y5" s="2"/>
      <c r="Z5" s="2"/>
    </row>
    <row r="6" ht="26.25" customHeight="1">
      <c r="A6" s="42"/>
      <c r="B6" s="43"/>
      <c r="C6" s="169" t="s">
        <v>155</v>
      </c>
      <c r="D6" s="46" t="s">
        <v>156</v>
      </c>
      <c r="E6" s="46" t="s">
        <v>157</v>
      </c>
      <c r="F6" s="169" t="s">
        <v>158</v>
      </c>
      <c r="G6" s="43"/>
      <c r="H6" s="206" t="s">
        <v>203</v>
      </c>
      <c r="I6" s="207">
        <f>+Consideraciones!D12</f>
        <v>8</v>
      </c>
      <c r="J6" s="38"/>
      <c r="K6" s="41" t="s">
        <v>204</v>
      </c>
      <c r="L6" s="208" t="s">
        <v>205</v>
      </c>
      <c r="M6" s="43"/>
      <c r="N6" s="42"/>
      <c r="O6" s="42"/>
      <c r="P6" s="209"/>
      <c r="Q6" s="42"/>
      <c r="R6" s="2"/>
      <c r="S6" s="2"/>
      <c r="T6" s="2"/>
      <c r="U6" s="2"/>
      <c r="V6" s="2"/>
      <c r="W6" s="2"/>
      <c r="X6" s="2"/>
      <c r="Y6" s="2"/>
      <c r="Z6" s="2"/>
    </row>
    <row r="7" ht="17.25" customHeight="1">
      <c r="A7" s="27"/>
      <c r="B7" s="28"/>
      <c r="C7" s="210" t="s">
        <v>206</v>
      </c>
      <c r="D7" s="211">
        <v>1150000.0</v>
      </c>
      <c r="E7" s="212">
        <v>1.0</v>
      </c>
      <c r="F7" s="172">
        <f>D7*E7</f>
        <v>1150000</v>
      </c>
      <c r="G7" s="28"/>
      <c r="H7" s="213"/>
      <c r="I7" s="214"/>
      <c r="J7" s="38"/>
      <c r="K7" s="38"/>
      <c r="L7" s="38"/>
      <c r="M7" s="28"/>
      <c r="N7" s="27"/>
      <c r="O7" s="27"/>
      <c r="P7" s="205" t="s">
        <v>207</v>
      </c>
      <c r="Q7" s="27"/>
      <c r="R7" s="2"/>
      <c r="S7" s="2"/>
      <c r="T7" s="2"/>
      <c r="U7" s="2"/>
      <c r="V7" s="2"/>
      <c r="W7" s="2"/>
      <c r="X7" s="2"/>
      <c r="Y7" s="2"/>
      <c r="Z7" s="2"/>
    </row>
    <row r="8" ht="12.75" customHeight="1">
      <c r="A8" s="27"/>
      <c r="B8" s="28"/>
      <c r="C8" s="210"/>
      <c r="D8" s="211"/>
      <c r="E8" s="212"/>
      <c r="F8" s="172"/>
      <c r="G8" s="28"/>
      <c r="H8" s="41" t="s">
        <v>208</v>
      </c>
      <c r="I8" s="215">
        <v>14.0</v>
      </c>
      <c r="J8" s="38"/>
      <c r="K8" s="38"/>
      <c r="L8" s="38"/>
      <c r="M8" s="28"/>
      <c r="N8" s="27"/>
      <c r="O8" s="27"/>
      <c r="P8" s="205" t="s">
        <v>205</v>
      </c>
      <c r="Q8" s="27"/>
      <c r="R8" s="2"/>
      <c r="S8" s="2"/>
      <c r="T8" s="2"/>
      <c r="U8" s="2"/>
      <c r="V8" s="2"/>
      <c r="W8" s="2"/>
      <c r="X8" s="2"/>
      <c r="Y8" s="2"/>
      <c r="Z8" s="2"/>
    </row>
    <row r="9" ht="12.75" customHeight="1">
      <c r="A9" s="27"/>
      <c r="B9" s="28"/>
      <c r="C9" s="210"/>
      <c r="D9" s="211"/>
      <c r="E9" s="212"/>
      <c r="F9" s="172"/>
      <c r="G9" s="28"/>
      <c r="H9" s="41" t="s">
        <v>209</v>
      </c>
      <c r="I9" s="216">
        <v>0.0</v>
      </c>
      <c r="J9" s="38"/>
      <c r="K9" s="38"/>
      <c r="L9" s="38"/>
      <c r="M9" s="28"/>
      <c r="N9" s="27"/>
      <c r="O9" s="27"/>
      <c r="P9" s="205" t="s">
        <v>210</v>
      </c>
      <c r="Q9" s="27"/>
      <c r="R9" s="2"/>
      <c r="S9" s="2"/>
      <c r="T9" s="2"/>
      <c r="U9" s="2"/>
      <c r="V9" s="2"/>
      <c r="W9" s="2"/>
      <c r="X9" s="2"/>
      <c r="Y9" s="2"/>
      <c r="Z9" s="2"/>
    </row>
    <row r="10" ht="17.25" customHeight="1">
      <c r="A10" s="27"/>
      <c r="B10" s="28"/>
      <c r="C10" s="177" t="s">
        <v>174</v>
      </c>
      <c r="D10" s="217"/>
      <c r="E10" s="218">
        <f t="shared" ref="E10:F10" si="1">SUM(E7:E9)</f>
        <v>1</v>
      </c>
      <c r="F10" s="180">
        <f t="shared" si="1"/>
        <v>1150000</v>
      </c>
      <c r="G10" s="28"/>
      <c r="H10" s="28"/>
      <c r="I10" s="28"/>
      <c r="J10" s="28"/>
      <c r="K10" s="38"/>
      <c r="L10" s="38"/>
      <c r="M10" s="28"/>
      <c r="N10" s="27"/>
      <c r="O10" s="27"/>
      <c r="P10" s="205" t="s">
        <v>211</v>
      </c>
      <c r="Q10" s="27"/>
      <c r="R10" s="2"/>
      <c r="S10" s="2"/>
      <c r="T10" s="2"/>
      <c r="U10" s="2"/>
      <c r="V10" s="2"/>
      <c r="W10" s="2"/>
      <c r="X10" s="2"/>
      <c r="Y10" s="2"/>
      <c r="Z10" s="2"/>
    </row>
    <row r="11" ht="17.25" customHeight="1">
      <c r="A11" s="27"/>
      <c r="B11" s="28"/>
      <c r="C11" s="177" t="s">
        <v>175</v>
      </c>
      <c r="D11" s="181"/>
      <c r="E11" s="182"/>
      <c r="F11" s="183">
        <f>12*F10</f>
        <v>13800000</v>
      </c>
      <c r="G11" s="28"/>
      <c r="H11" s="41" t="s">
        <v>212</v>
      </c>
      <c r="I11" s="219">
        <f>+IF(OR($L$6="Electricidad",$L$6="Ambos"),0.4,"")</f>
        <v>0.4</v>
      </c>
      <c r="J11" s="28"/>
      <c r="K11" s="41" t="s">
        <v>213</v>
      </c>
      <c r="L11" s="220">
        <v>1.1</v>
      </c>
      <c r="M11" s="28"/>
      <c r="N11" s="27"/>
      <c r="O11" s="27"/>
      <c r="P11" s="205"/>
      <c r="Q11" s="27"/>
      <c r="R11" s="2"/>
      <c r="S11" s="2"/>
      <c r="T11" s="2"/>
      <c r="U11" s="2"/>
      <c r="V11" s="2"/>
      <c r="W11" s="2"/>
      <c r="X11" s="2"/>
      <c r="Y11" s="2"/>
      <c r="Z11" s="2"/>
    </row>
    <row r="12" ht="18.0" customHeight="1">
      <c r="A12" s="27"/>
      <c r="B12" s="28"/>
      <c r="C12" s="38"/>
      <c r="D12" s="38"/>
      <c r="E12" s="38"/>
      <c r="F12" s="38"/>
      <c r="G12" s="28"/>
      <c r="H12" s="41" t="s">
        <v>214</v>
      </c>
      <c r="I12" s="219" t="str">
        <f>+IF(OR($L$6="Gas",$L$6="Ambos"),0.2,"")</f>
        <v/>
      </c>
      <c r="J12" s="28"/>
      <c r="K12" s="41" t="s">
        <v>215</v>
      </c>
      <c r="L12" s="221">
        <v>2.3</v>
      </c>
      <c r="M12" s="28"/>
      <c r="N12" s="27"/>
      <c r="O12" s="27"/>
      <c r="P12" s="205"/>
      <c r="Q12" s="27"/>
      <c r="R12" s="2"/>
      <c r="S12" s="2"/>
      <c r="T12" s="2"/>
      <c r="U12" s="2"/>
      <c r="V12" s="2"/>
      <c r="W12" s="2"/>
      <c r="X12" s="2"/>
      <c r="Y12" s="2"/>
      <c r="Z12" s="2"/>
    </row>
    <row r="13" ht="17.25" customHeight="1">
      <c r="A13" s="27"/>
      <c r="B13" s="28"/>
      <c r="C13" s="38"/>
      <c r="D13" s="38"/>
      <c r="E13" s="38"/>
      <c r="F13" s="38"/>
      <c r="G13" s="28"/>
      <c r="H13" s="28"/>
      <c r="I13" s="28"/>
      <c r="J13" s="28"/>
      <c r="K13" s="28"/>
      <c r="L13" s="28"/>
      <c r="M13" s="28"/>
      <c r="N13" s="27"/>
      <c r="O13" s="27"/>
      <c r="P13" s="205"/>
      <c r="Q13" s="27"/>
      <c r="R13" s="2"/>
      <c r="S13" s="2"/>
      <c r="T13" s="2"/>
      <c r="U13" s="2"/>
      <c r="V13" s="2"/>
      <c r="W13" s="2"/>
      <c r="X13" s="2"/>
      <c r="Y13" s="2"/>
      <c r="Z13" s="2"/>
    </row>
    <row r="14" ht="17.25" customHeight="1">
      <c r="A14" s="27"/>
      <c r="B14" s="28"/>
      <c r="C14" s="177" t="s">
        <v>179</v>
      </c>
      <c r="D14" s="181"/>
      <c r="E14" s="182"/>
      <c r="F14" s="183">
        <f>F10</f>
        <v>1150000</v>
      </c>
      <c r="G14" s="28"/>
      <c r="H14" s="222" t="s">
        <v>216</v>
      </c>
      <c r="I14" s="223"/>
      <c r="J14" s="224"/>
      <c r="K14" s="225"/>
      <c r="L14" s="226">
        <f>IF($I$11="",0,I8*I11*L11*Consideraciones!D12*Consideraciones!D8)</f>
        <v>1034.88</v>
      </c>
      <c r="M14" s="28"/>
      <c r="N14" s="27"/>
      <c r="O14" s="27"/>
      <c r="P14" s="205"/>
      <c r="Q14" s="27"/>
      <c r="R14" s="2"/>
      <c r="S14" s="2"/>
      <c r="T14" s="2"/>
      <c r="U14" s="2"/>
      <c r="V14" s="2"/>
      <c r="W14" s="2"/>
      <c r="X14" s="2"/>
      <c r="Y14" s="2"/>
      <c r="Z14" s="2"/>
    </row>
    <row r="15" ht="17.25" customHeight="1">
      <c r="A15" s="27"/>
      <c r="B15" s="28"/>
      <c r="C15" s="38"/>
      <c r="D15" s="38"/>
      <c r="E15" s="38"/>
      <c r="F15" s="38"/>
      <c r="G15" s="28"/>
      <c r="H15" s="222" t="s">
        <v>217</v>
      </c>
      <c r="I15" s="223"/>
      <c r="J15" s="224"/>
      <c r="K15" s="225"/>
      <c r="L15" s="226">
        <f>IF(I12="",0,I9*I12*L12*Consideraciones!$D$12*Consideraciones!$D$8)</f>
        <v>0</v>
      </c>
      <c r="M15" s="28"/>
      <c r="N15" s="27"/>
      <c r="O15" s="27"/>
      <c r="P15" s="205"/>
      <c r="Q15" s="27"/>
      <c r="R15" s="2"/>
      <c r="S15" s="2"/>
      <c r="T15" s="2"/>
      <c r="U15" s="2"/>
      <c r="V15" s="2"/>
      <c r="W15" s="2"/>
      <c r="X15" s="2"/>
      <c r="Y15" s="2"/>
      <c r="Z15" s="2"/>
    </row>
    <row r="16" ht="17.25" customHeight="1">
      <c r="A16" s="27"/>
      <c r="B16" s="28"/>
      <c r="C16" s="38"/>
      <c r="D16" s="38"/>
      <c r="E16" s="38"/>
      <c r="F16" s="38"/>
      <c r="G16" s="28"/>
      <c r="H16" s="28"/>
      <c r="I16" s="28"/>
      <c r="J16" s="28"/>
      <c r="K16" s="28"/>
      <c r="L16" s="28"/>
      <c r="M16" s="28"/>
      <c r="N16" s="27"/>
      <c r="O16" s="27"/>
      <c r="P16" s="205"/>
      <c r="Q16" s="27"/>
      <c r="R16" s="2"/>
      <c r="S16" s="2"/>
      <c r="T16" s="2"/>
      <c r="U16" s="2"/>
      <c r="V16" s="2"/>
      <c r="W16" s="2"/>
      <c r="X16" s="2"/>
      <c r="Y16" s="2"/>
      <c r="Z16" s="2"/>
    </row>
    <row r="17" ht="17.25" customHeight="1">
      <c r="A17" s="27"/>
      <c r="B17" s="28"/>
      <c r="C17" s="177" t="s">
        <v>180</v>
      </c>
      <c r="D17" s="181"/>
      <c r="E17" s="227"/>
      <c r="F17" s="183">
        <f>Consideraciones!D18*(F14+F11)</f>
        <v>8970000</v>
      </c>
      <c r="G17" s="28"/>
      <c r="H17" s="177" t="s">
        <v>218</v>
      </c>
      <c r="I17" s="181"/>
      <c r="J17" s="181"/>
      <c r="K17" s="182"/>
      <c r="L17" s="183">
        <f>IF(L6="Ninguno",0,(L14+L15)*Consideraciones!D10)</f>
        <v>12418.56</v>
      </c>
      <c r="M17" s="28"/>
      <c r="N17" s="27"/>
      <c r="O17" s="27"/>
      <c r="P17" s="27"/>
      <c r="Q17" s="27"/>
      <c r="R17" s="2"/>
      <c r="S17" s="2"/>
      <c r="T17" s="2"/>
      <c r="U17" s="2"/>
      <c r="V17" s="2"/>
      <c r="W17" s="2"/>
      <c r="X17" s="2"/>
      <c r="Y17" s="2"/>
      <c r="Z17" s="2"/>
    </row>
    <row r="18" ht="17.25" customHeight="1">
      <c r="A18" s="27"/>
      <c r="B18" s="28"/>
      <c r="C18" s="38"/>
      <c r="D18" s="38"/>
      <c r="E18" s="38"/>
      <c r="F18" s="38"/>
      <c r="G18" s="28"/>
      <c r="H18" s="28"/>
      <c r="I18" s="28"/>
      <c r="J18" s="28"/>
      <c r="K18" s="28"/>
      <c r="L18" s="28"/>
      <c r="M18" s="28"/>
      <c r="N18" s="27"/>
      <c r="O18" s="27"/>
      <c r="P18" s="27"/>
      <c r="Q18" s="27"/>
      <c r="R18" s="2"/>
      <c r="S18" s="2"/>
      <c r="T18" s="2"/>
      <c r="U18" s="2"/>
      <c r="V18" s="2"/>
      <c r="W18" s="2"/>
      <c r="X18" s="2"/>
      <c r="Y18" s="2"/>
      <c r="Z18" s="2"/>
    </row>
    <row r="19" ht="17.25" customHeight="1">
      <c r="A19" s="27"/>
      <c r="B19" s="28"/>
      <c r="C19" s="167" t="s">
        <v>181</v>
      </c>
      <c r="D19" s="38"/>
      <c r="E19" s="38"/>
      <c r="F19" s="38"/>
      <c r="G19" s="28"/>
      <c r="H19" s="167" t="s">
        <v>219</v>
      </c>
      <c r="I19" s="167"/>
      <c r="J19" s="28"/>
      <c r="K19" s="28"/>
      <c r="L19" s="28"/>
      <c r="M19" s="28"/>
      <c r="N19" s="27"/>
      <c r="O19" s="27"/>
      <c r="P19" s="27"/>
      <c r="Q19" s="27"/>
      <c r="R19" s="2"/>
      <c r="S19" s="2"/>
      <c r="T19" s="2"/>
      <c r="U19" s="2"/>
      <c r="V19" s="2"/>
      <c r="W19" s="2"/>
      <c r="X19" s="2"/>
      <c r="Y19" s="2"/>
      <c r="Z19" s="2"/>
    </row>
    <row r="20" ht="17.25" customHeight="1">
      <c r="A20" s="27"/>
      <c r="B20" s="28"/>
      <c r="C20" s="190" t="s">
        <v>182</v>
      </c>
      <c r="D20" s="191"/>
      <c r="E20" s="192"/>
      <c r="F20" s="100">
        <v>0.0</v>
      </c>
      <c r="G20" s="28"/>
      <c r="H20" s="228" t="s">
        <v>220</v>
      </c>
      <c r="I20" s="224"/>
      <c r="J20" s="224"/>
      <c r="K20" s="225"/>
      <c r="L20" s="229" t="s">
        <v>178</v>
      </c>
      <c r="M20" s="28"/>
      <c r="N20" s="27"/>
      <c r="O20" s="27"/>
      <c r="P20" s="27"/>
      <c r="Q20" s="27"/>
      <c r="R20" s="2"/>
      <c r="S20" s="2"/>
      <c r="T20" s="2"/>
      <c r="U20" s="2"/>
      <c r="V20" s="2"/>
      <c r="W20" s="2"/>
      <c r="X20" s="2"/>
      <c r="Y20" s="2"/>
      <c r="Z20" s="2"/>
    </row>
    <row r="21" ht="17.25" customHeight="1">
      <c r="A21" s="27"/>
      <c r="B21" s="28"/>
      <c r="C21" s="190" t="s">
        <v>183</v>
      </c>
      <c r="D21" s="191"/>
      <c r="E21" s="192"/>
      <c r="F21" s="194">
        <v>0.0</v>
      </c>
      <c r="G21" s="28"/>
      <c r="H21" s="230" t="s">
        <v>221</v>
      </c>
      <c r="I21" s="191"/>
      <c r="J21" s="191"/>
      <c r="K21" s="192"/>
      <c r="L21" s="57">
        <v>600000.0</v>
      </c>
      <c r="M21" s="195" t="s">
        <v>222</v>
      </c>
      <c r="N21" s="27"/>
      <c r="O21" s="27"/>
      <c r="P21" s="27"/>
      <c r="Q21" s="27"/>
      <c r="R21" s="2"/>
      <c r="S21" s="2"/>
      <c r="T21" s="2"/>
      <c r="U21" s="2"/>
      <c r="V21" s="2"/>
      <c r="W21" s="2"/>
      <c r="X21" s="2"/>
      <c r="Y21" s="2"/>
      <c r="Z21" s="2"/>
    </row>
    <row r="22" ht="17.25" customHeight="1">
      <c r="A22" s="27"/>
      <c r="B22" s="28"/>
      <c r="C22" s="190" t="s">
        <v>187</v>
      </c>
      <c r="D22" s="191"/>
      <c r="E22" s="192"/>
      <c r="F22" s="198">
        <f>Consideraciones!D8</f>
        <v>21</v>
      </c>
      <c r="G22" s="28"/>
      <c r="H22" s="190"/>
      <c r="I22" s="191"/>
      <c r="J22" s="191"/>
      <c r="K22" s="192"/>
      <c r="L22" s="57"/>
      <c r="M22" s="195" t="s">
        <v>222</v>
      </c>
      <c r="N22" s="27"/>
      <c r="O22" s="27"/>
      <c r="P22" s="27"/>
      <c r="Q22" s="27"/>
      <c r="R22" s="2"/>
      <c r="S22" s="2"/>
      <c r="T22" s="2"/>
      <c r="U22" s="2"/>
      <c r="V22" s="2"/>
      <c r="W22" s="2"/>
      <c r="X22" s="2"/>
      <c r="Y22" s="2"/>
      <c r="Z22" s="2"/>
    </row>
    <row r="23" ht="17.25" customHeight="1">
      <c r="A23" s="27"/>
      <c r="B23" s="28"/>
      <c r="C23" s="190" t="s">
        <v>42</v>
      </c>
      <c r="D23" s="191"/>
      <c r="E23" s="192"/>
      <c r="F23" s="198">
        <f>+Consideraciones!D10</f>
        <v>12</v>
      </c>
      <c r="G23" s="28"/>
      <c r="H23" s="190"/>
      <c r="I23" s="191"/>
      <c r="J23" s="191"/>
      <c r="K23" s="192"/>
      <c r="L23" s="57"/>
      <c r="M23" s="195" t="s">
        <v>222</v>
      </c>
      <c r="N23" s="27"/>
      <c r="O23" s="27"/>
      <c r="P23" s="27"/>
      <c r="Q23" s="27"/>
      <c r="R23" s="2"/>
      <c r="S23" s="2"/>
      <c r="T23" s="2"/>
      <c r="U23" s="2"/>
      <c r="V23" s="2"/>
      <c r="W23" s="2"/>
      <c r="X23" s="2"/>
      <c r="Y23" s="2"/>
      <c r="Z23" s="2"/>
    </row>
    <row r="24" ht="17.25" customHeight="1">
      <c r="A24" s="27"/>
      <c r="B24" s="28"/>
      <c r="C24" s="177" t="s">
        <v>193</v>
      </c>
      <c r="D24" s="181"/>
      <c r="E24" s="182"/>
      <c r="F24" s="183">
        <f>+F20*F21*F22*F23</f>
        <v>0</v>
      </c>
      <c r="G24" s="28"/>
      <c r="H24" s="190"/>
      <c r="I24" s="191"/>
      <c r="J24" s="191"/>
      <c r="K24" s="192"/>
      <c r="L24" s="57"/>
      <c r="M24" s="195" t="s">
        <v>222</v>
      </c>
      <c r="N24" s="27"/>
      <c r="O24" s="27"/>
      <c r="P24" s="27"/>
      <c r="Q24" s="27"/>
      <c r="R24" s="2"/>
      <c r="S24" s="2"/>
      <c r="T24" s="2"/>
      <c r="U24" s="2"/>
      <c r="V24" s="2"/>
      <c r="W24" s="2"/>
      <c r="X24" s="2"/>
      <c r="Y24" s="2"/>
      <c r="Z24" s="2"/>
    </row>
    <row r="25" ht="17.25" customHeight="1">
      <c r="A25" s="27"/>
      <c r="B25" s="28"/>
      <c r="C25" s="177" t="s">
        <v>223</v>
      </c>
      <c r="D25" s="181"/>
      <c r="E25" s="182"/>
      <c r="F25" s="183">
        <f>+F24+F17+F14+F11</f>
        <v>23920000</v>
      </c>
      <c r="G25" s="28"/>
      <c r="H25" s="190" t="s">
        <v>224</v>
      </c>
      <c r="I25" s="191"/>
      <c r="J25" s="191"/>
      <c r="K25" s="192"/>
      <c r="L25" s="231">
        <v>4.872E7</v>
      </c>
      <c r="M25" s="232" t="s">
        <v>225</v>
      </c>
      <c r="N25" s="27"/>
      <c r="O25" s="27"/>
      <c r="P25" s="27"/>
      <c r="Q25" s="27"/>
      <c r="R25" s="2"/>
      <c r="S25" s="2"/>
      <c r="T25" s="2"/>
      <c r="U25" s="2"/>
      <c r="V25" s="2"/>
      <c r="W25" s="2"/>
      <c r="X25" s="2"/>
      <c r="Y25" s="2"/>
      <c r="Z25" s="2"/>
    </row>
    <row r="26" ht="17.25" customHeight="1">
      <c r="A26" s="27"/>
      <c r="B26" s="28"/>
      <c r="G26" s="28"/>
      <c r="H26" s="177" t="s">
        <v>219</v>
      </c>
      <c r="I26" s="181"/>
      <c r="J26" s="181"/>
      <c r="K26" s="182"/>
      <c r="L26" s="183">
        <f>SUM(L21:L25)</f>
        <v>49320000</v>
      </c>
      <c r="M26" s="38"/>
      <c r="N26" s="27"/>
      <c r="O26" s="27"/>
      <c r="P26" s="27"/>
      <c r="Q26" s="27"/>
      <c r="R26" s="2"/>
      <c r="S26" s="2"/>
      <c r="T26" s="2"/>
      <c r="U26" s="2"/>
      <c r="V26" s="2"/>
      <c r="W26" s="2"/>
      <c r="X26" s="2"/>
      <c r="Y26" s="2"/>
      <c r="Z26" s="2"/>
    </row>
    <row r="27" ht="18.0" customHeight="1">
      <c r="A27" s="27"/>
      <c r="B27" s="28"/>
      <c r="C27" s="28"/>
      <c r="D27" s="28"/>
      <c r="E27" s="28"/>
      <c r="F27" s="28"/>
      <c r="G27" s="28"/>
      <c r="H27" s="28"/>
      <c r="I27" s="28"/>
      <c r="J27" s="28"/>
      <c r="K27" s="28"/>
      <c r="L27" s="28"/>
      <c r="M27" s="38"/>
      <c r="N27" s="27"/>
      <c r="O27" s="27"/>
      <c r="P27" s="27"/>
      <c r="Q27" s="27"/>
      <c r="R27" s="2"/>
      <c r="S27" s="2"/>
      <c r="T27" s="2"/>
      <c r="U27" s="2"/>
      <c r="V27" s="2"/>
      <c r="W27" s="2"/>
      <c r="X27" s="2"/>
      <c r="Y27" s="2"/>
      <c r="Z27" s="2"/>
    </row>
    <row r="28" ht="17.25" customHeight="1">
      <c r="A28" s="27"/>
      <c r="B28" s="28"/>
      <c r="C28" s="28"/>
      <c r="D28" s="28"/>
      <c r="E28" s="28"/>
      <c r="F28" s="28"/>
      <c r="G28" s="28"/>
      <c r="H28" s="233" t="s">
        <v>226</v>
      </c>
      <c r="I28" s="234"/>
      <c r="J28" s="181"/>
      <c r="K28" s="182"/>
      <c r="L28" s="183">
        <f>+L26+L17+F25</f>
        <v>73252418.56</v>
      </c>
      <c r="M28" s="195"/>
      <c r="N28" s="27"/>
      <c r="O28" s="27"/>
      <c r="P28" s="27"/>
      <c r="Q28" s="27"/>
      <c r="R28" s="2"/>
      <c r="S28" s="2"/>
      <c r="T28" s="2"/>
      <c r="U28" s="2"/>
      <c r="V28" s="2"/>
      <c r="W28" s="2"/>
      <c r="X28" s="2"/>
      <c r="Y28" s="2"/>
      <c r="Z28" s="2"/>
    </row>
    <row r="29" ht="17.25" customHeight="1">
      <c r="A29" s="27"/>
      <c r="B29" s="28"/>
      <c r="C29" s="28"/>
      <c r="D29" s="28"/>
      <c r="E29" s="28"/>
      <c r="F29" s="28"/>
      <c r="G29" s="28"/>
      <c r="H29" s="28"/>
      <c r="I29" s="28"/>
      <c r="J29" s="28"/>
      <c r="K29" s="28"/>
      <c r="L29" s="28"/>
      <c r="M29" s="28"/>
      <c r="N29" s="27"/>
      <c r="O29" s="27"/>
      <c r="P29" s="27"/>
      <c r="Q29" s="27"/>
      <c r="R29" s="2"/>
      <c r="S29" s="2"/>
      <c r="T29" s="2"/>
      <c r="U29" s="2"/>
      <c r="V29" s="2"/>
      <c r="W29" s="2"/>
      <c r="X29" s="2"/>
      <c r="Y29" s="2"/>
      <c r="Z29" s="2"/>
    </row>
    <row r="30" ht="15.75" customHeight="1">
      <c r="A30" s="27"/>
      <c r="B30" s="27"/>
      <c r="C30" s="27"/>
      <c r="D30" s="27"/>
      <c r="E30" s="27"/>
      <c r="F30" s="27"/>
      <c r="G30" s="27"/>
      <c r="H30" s="27"/>
      <c r="I30" s="27"/>
      <c r="J30" s="27"/>
      <c r="K30" s="27"/>
      <c r="L30" s="27"/>
      <c r="M30" s="27"/>
      <c r="N30" s="27"/>
      <c r="O30" s="27"/>
      <c r="P30" s="27"/>
      <c r="Q30" s="27"/>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H14:I14"/>
    <mergeCell ref="H15:I15"/>
  </mergeCells>
  <dataValidations>
    <dataValidation type="list" allowBlank="1" showInputMessage="1" showErrorMessage="1" prompt=" - " sqref="L6">
      <formula1>$P$7:$P$10</formula1>
    </dataValidation>
  </dataValidations>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1" width="3.43"/>
    <col customWidth="1" min="2" max="2" width="2.0"/>
    <col customWidth="1" min="3" max="3" width="38.71"/>
    <col customWidth="1" min="4" max="4" width="13.29"/>
    <col customWidth="1" min="5" max="5" width="17.57"/>
    <col customWidth="1" min="6" max="6" width="17.71"/>
    <col customWidth="1" min="7" max="7" width="12.14"/>
    <col customWidth="1" min="8" max="8" width="32.57"/>
    <col customWidth="1" min="9" max="9" width="11.29"/>
    <col customWidth="1" min="10" max="10" width="15.29"/>
    <col customWidth="1" min="11" max="11" width="11.0"/>
    <col customWidth="1" min="12" max="12" width="15.29"/>
    <col customWidth="1" min="13" max="22" width="12.14"/>
    <col customWidth="1" min="23" max="23" width="10.0"/>
    <col customWidth="1" min="24" max="26" width="17.29"/>
  </cols>
  <sheetData>
    <row r="1" ht="10.5" customHeight="1">
      <c r="A1" s="27"/>
      <c r="B1" s="27"/>
      <c r="C1" s="27"/>
      <c r="D1" s="27"/>
      <c r="E1" s="27"/>
      <c r="F1" s="27"/>
      <c r="G1" s="27"/>
      <c r="H1" s="27"/>
      <c r="I1" s="27"/>
      <c r="J1" s="27"/>
      <c r="K1" s="27"/>
      <c r="L1" s="27"/>
      <c r="M1" s="27"/>
      <c r="N1" s="27"/>
      <c r="O1" s="2"/>
      <c r="P1" s="2"/>
      <c r="Q1" s="2"/>
      <c r="R1" s="2"/>
      <c r="S1" s="2"/>
      <c r="T1" s="2"/>
      <c r="U1" s="2"/>
      <c r="V1" s="2"/>
      <c r="W1" s="2"/>
      <c r="X1" s="2"/>
      <c r="Y1" s="2"/>
      <c r="Z1" s="2"/>
    </row>
    <row r="2" ht="9.75" customHeight="1">
      <c r="A2" s="27"/>
      <c r="B2" s="28"/>
      <c r="C2" s="28"/>
      <c r="D2" s="28"/>
      <c r="E2" s="28"/>
      <c r="F2" s="28"/>
      <c r="G2" s="28"/>
      <c r="H2" s="28"/>
      <c r="I2" s="28"/>
      <c r="J2" s="28"/>
      <c r="K2" s="28"/>
      <c r="L2" s="28"/>
      <c r="M2" s="28"/>
      <c r="N2" s="27"/>
      <c r="O2" s="2"/>
      <c r="P2" s="2"/>
      <c r="Q2" s="2"/>
      <c r="R2" s="2"/>
      <c r="S2" s="2"/>
      <c r="T2" s="2"/>
      <c r="U2" s="2"/>
      <c r="V2" s="2"/>
      <c r="W2" s="2"/>
      <c r="X2" s="2"/>
      <c r="Y2" s="2"/>
      <c r="Z2" s="2"/>
    </row>
    <row r="3" ht="18.0" customHeight="1">
      <c r="A3" s="27"/>
      <c r="B3" s="28"/>
      <c r="C3" s="165" t="s">
        <v>227</v>
      </c>
      <c r="D3" s="28"/>
      <c r="E3" s="28"/>
      <c r="F3" s="28"/>
      <c r="G3" s="28"/>
      <c r="H3" s="28"/>
      <c r="I3" s="28"/>
      <c r="J3" s="28"/>
      <c r="K3" s="28"/>
      <c r="L3" s="28"/>
      <c r="M3" s="28"/>
      <c r="N3" s="27"/>
      <c r="O3" s="2"/>
      <c r="P3" s="2"/>
      <c r="Q3" s="2"/>
      <c r="R3" s="2"/>
      <c r="S3" s="2"/>
      <c r="T3" s="2"/>
      <c r="U3" s="2"/>
      <c r="V3" s="2"/>
      <c r="W3" s="2"/>
      <c r="X3" s="2"/>
      <c r="Y3" s="2"/>
      <c r="Z3" s="2"/>
    </row>
    <row r="4" ht="6.75" customHeight="1">
      <c r="A4" s="27"/>
      <c r="B4" s="28"/>
      <c r="C4" s="28"/>
      <c r="D4" s="28"/>
      <c r="E4" s="28"/>
      <c r="F4" s="28"/>
      <c r="G4" s="28"/>
      <c r="H4" s="28"/>
      <c r="I4" s="28"/>
      <c r="J4" s="28"/>
      <c r="K4" s="28"/>
      <c r="L4" s="28"/>
      <c r="M4" s="28"/>
      <c r="N4" s="27"/>
      <c r="O4" s="2"/>
      <c r="P4" s="2"/>
      <c r="Q4" s="2"/>
      <c r="R4" s="2"/>
      <c r="S4" s="2"/>
      <c r="T4" s="2"/>
      <c r="U4" s="2"/>
      <c r="V4" s="2"/>
      <c r="W4" s="2"/>
      <c r="X4" s="2"/>
      <c r="Y4" s="2"/>
      <c r="Z4" s="2"/>
    </row>
    <row r="5" ht="17.25" customHeight="1">
      <c r="A5" s="27"/>
      <c r="B5" s="28"/>
      <c r="C5" s="167" t="s">
        <v>228</v>
      </c>
      <c r="D5" s="38"/>
      <c r="E5" s="38"/>
      <c r="F5" s="38"/>
      <c r="G5" s="28"/>
      <c r="H5" s="167" t="s">
        <v>229</v>
      </c>
      <c r="I5" s="28"/>
      <c r="J5" s="28"/>
      <c r="K5" s="28"/>
      <c r="L5" s="28"/>
      <c r="M5" s="28"/>
      <c r="N5" s="27"/>
      <c r="O5" s="2"/>
      <c r="P5" s="2"/>
      <c r="Q5" s="2"/>
      <c r="R5" s="2"/>
      <c r="S5" s="2"/>
      <c r="T5" s="2"/>
      <c r="U5" s="2"/>
      <c r="V5" s="2"/>
      <c r="W5" s="2"/>
      <c r="X5" s="2"/>
      <c r="Y5" s="2"/>
      <c r="Z5" s="2"/>
    </row>
    <row r="6" ht="25.5" customHeight="1">
      <c r="A6" s="27"/>
      <c r="B6" s="28"/>
      <c r="C6" s="169" t="s">
        <v>155</v>
      </c>
      <c r="D6" s="46" t="s">
        <v>230</v>
      </c>
      <c r="E6" s="46" t="s">
        <v>157</v>
      </c>
      <c r="F6" s="46" t="s">
        <v>158</v>
      </c>
      <c r="G6" s="28"/>
      <c r="H6" s="199"/>
      <c r="I6" s="235"/>
      <c r="J6" s="46" t="s">
        <v>231</v>
      </c>
      <c r="K6" s="236">
        <f>+IF($E$7="","",0.4%)</f>
        <v>0.004</v>
      </c>
      <c r="L6" s="28"/>
      <c r="M6" s="28"/>
      <c r="N6" s="27"/>
      <c r="O6" s="2"/>
      <c r="P6" s="2"/>
      <c r="Q6" s="2"/>
      <c r="R6" s="2"/>
      <c r="S6" s="2"/>
      <c r="T6" s="2"/>
      <c r="U6" s="2"/>
      <c r="V6" s="2"/>
      <c r="W6" s="2"/>
      <c r="X6" s="2"/>
      <c r="Y6" s="2"/>
      <c r="Z6" s="2"/>
    </row>
    <row r="7" ht="25.5" customHeight="1">
      <c r="A7" s="42"/>
      <c r="B7" s="28"/>
      <c r="C7" s="237" t="s">
        <v>232</v>
      </c>
      <c r="D7" s="238">
        <v>1200000.0</v>
      </c>
      <c r="E7" s="239">
        <v>1.0</v>
      </c>
      <c r="F7" s="152">
        <f>E7*D7</f>
        <v>1200000</v>
      </c>
      <c r="G7" s="28"/>
      <c r="H7" s="199"/>
      <c r="I7" s="235"/>
      <c r="J7" s="46" t="s">
        <v>233</v>
      </c>
      <c r="K7" s="240">
        <f>+IF($E$7="","",0.8%)</f>
        <v>0.008</v>
      </c>
      <c r="L7" s="46" t="s">
        <v>234</v>
      </c>
      <c r="M7" s="28"/>
      <c r="N7" s="27"/>
      <c r="O7" s="2"/>
      <c r="P7" s="2"/>
      <c r="Q7" s="2"/>
      <c r="R7" s="2"/>
      <c r="S7" s="2"/>
      <c r="T7" s="2"/>
      <c r="U7" s="2"/>
      <c r="V7" s="2"/>
      <c r="W7" s="2"/>
      <c r="X7" s="2"/>
      <c r="Y7" s="2"/>
      <c r="Z7" s="2"/>
    </row>
    <row r="8" ht="24.75" customHeight="1">
      <c r="A8" s="27"/>
      <c r="B8" s="28"/>
      <c r="C8" s="237"/>
      <c r="D8" s="238"/>
      <c r="E8" s="239">
        <v>1.0</v>
      </c>
      <c r="F8" s="152"/>
      <c r="G8" s="28"/>
      <c r="H8" s="241"/>
      <c r="I8" s="242"/>
      <c r="J8" s="46"/>
      <c r="K8" s="243"/>
      <c r="L8" s="46"/>
      <c r="M8" s="28"/>
      <c r="N8" s="27"/>
      <c r="O8" s="2"/>
      <c r="P8" s="2"/>
      <c r="Q8" s="2"/>
      <c r="R8" s="2"/>
      <c r="S8" s="2"/>
      <c r="T8" s="2"/>
      <c r="U8" s="2"/>
      <c r="V8" s="2"/>
      <c r="W8" s="2"/>
      <c r="X8" s="2"/>
      <c r="Y8" s="2"/>
      <c r="Z8" s="2"/>
    </row>
    <row r="9" ht="24.75" customHeight="1">
      <c r="A9" s="27"/>
      <c r="B9" s="28"/>
      <c r="C9" s="237"/>
      <c r="D9" s="238"/>
      <c r="E9" s="239"/>
      <c r="F9" s="152"/>
      <c r="G9" s="28"/>
      <c r="H9" s="169" t="s">
        <v>235</v>
      </c>
      <c r="I9" s="236">
        <v>0.04</v>
      </c>
      <c r="J9" s="46" t="s">
        <v>236</v>
      </c>
      <c r="K9" s="46" t="s">
        <v>237</v>
      </c>
      <c r="L9" s="46" t="s">
        <v>238</v>
      </c>
      <c r="M9" s="28"/>
      <c r="N9" s="27"/>
      <c r="O9" s="2"/>
      <c r="P9" s="2"/>
      <c r="Q9" s="2"/>
      <c r="R9" s="2"/>
      <c r="S9" s="2"/>
      <c r="T9" s="2"/>
      <c r="U9" s="2"/>
      <c r="V9" s="2"/>
      <c r="W9" s="2"/>
      <c r="X9" s="2"/>
      <c r="Y9" s="2"/>
      <c r="Z9" s="2"/>
    </row>
    <row r="10" ht="24.75" customHeight="1">
      <c r="A10" s="27"/>
      <c r="B10" s="28"/>
      <c r="C10" s="177" t="s">
        <v>174</v>
      </c>
      <c r="D10" s="217"/>
      <c r="E10" s="244"/>
      <c r="F10" s="180">
        <f>SUM(F7:F9)</f>
        <v>1200000</v>
      </c>
      <c r="G10" s="28"/>
      <c r="H10" s="245" t="s">
        <v>239</v>
      </c>
      <c r="I10" s="246">
        <f>+Mercado!E23</f>
        <v>165000</v>
      </c>
      <c r="J10" s="247">
        <f>+I10*$I$9</f>
        <v>6600</v>
      </c>
      <c r="K10" s="247">
        <f>IF($E$7="","",$K$6*I10)</f>
        <v>660</v>
      </c>
      <c r="L10" s="248">
        <f>IF($K$6="",J10,+K10+J10)</f>
        <v>7260</v>
      </c>
      <c r="M10" s="28"/>
      <c r="N10" s="27"/>
      <c r="O10" s="2"/>
      <c r="P10" s="2"/>
      <c r="Q10" s="2"/>
      <c r="R10" s="2"/>
      <c r="S10" s="2"/>
      <c r="T10" s="2"/>
      <c r="U10" s="2"/>
      <c r="V10" s="2"/>
      <c r="W10" s="2"/>
      <c r="X10" s="2"/>
      <c r="Y10" s="2"/>
      <c r="Z10" s="2"/>
    </row>
    <row r="11" ht="17.25" customHeight="1">
      <c r="A11" s="27"/>
      <c r="B11" s="28"/>
      <c r="C11" s="177" t="s">
        <v>240</v>
      </c>
      <c r="D11" s="217"/>
      <c r="E11" s="244"/>
      <c r="F11" s="180">
        <f>F10*12</f>
        <v>14400000</v>
      </c>
      <c r="G11" s="28"/>
      <c r="H11" s="245" t="s">
        <v>241</v>
      </c>
      <c r="I11" s="246">
        <f>+Mercado!D23</f>
        <v>150000</v>
      </c>
      <c r="J11" s="247">
        <f>+$I$9*I11</f>
        <v>6000</v>
      </c>
      <c r="K11" s="247">
        <f>IF($E$7="","",$K$7*I11)</f>
        <v>1200</v>
      </c>
      <c r="L11" s="248">
        <f>IF($K$7="",J11,+K11+J11)</f>
        <v>7200</v>
      </c>
      <c r="M11" s="28"/>
      <c r="N11" s="27"/>
      <c r="O11" s="2"/>
      <c r="P11" s="2"/>
      <c r="Q11" s="2"/>
      <c r="R11" s="2"/>
      <c r="S11" s="2"/>
      <c r="T11" s="2"/>
      <c r="U11" s="2"/>
      <c r="V11" s="2"/>
      <c r="W11" s="2"/>
      <c r="X11" s="2"/>
      <c r="Y11" s="2"/>
      <c r="Z11" s="2"/>
    </row>
    <row r="12" ht="17.25" customHeight="1">
      <c r="A12" s="27"/>
      <c r="B12" s="28"/>
      <c r="C12" s="249"/>
      <c r="D12" s="250"/>
      <c r="E12" s="251"/>
      <c r="F12" s="252"/>
      <c r="G12" s="28"/>
      <c r="H12" s="245" t="s">
        <v>242</v>
      </c>
      <c r="I12" s="246">
        <f>+Mercado!F23</f>
        <v>160500</v>
      </c>
      <c r="J12" s="38"/>
      <c r="K12" s="38"/>
      <c r="L12" s="253">
        <f>+Mercado!$J$6*L10+Mercado!$I$6*L11</f>
        <v>7242</v>
      </c>
      <c r="M12" s="28"/>
      <c r="N12" s="27"/>
      <c r="O12" s="2"/>
      <c r="P12" s="2"/>
      <c r="Q12" s="2"/>
      <c r="R12" s="2"/>
      <c r="S12" s="2"/>
      <c r="T12" s="2"/>
      <c r="U12" s="2"/>
      <c r="V12" s="2"/>
      <c r="W12" s="2"/>
      <c r="X12" s="2"/>
      <c r="Y12" s="2"/>
      <c r="Z12" s="2"/>
    </row>
    <row r="13" ht="17.25" customHeight="1">
      <c r="A13" s="27"/>
      <c r="B13" s="28"/>
      <c r="C13" s="177" t="s">
        <v>179</v>
      </c>
      <c r="D13" s="217"/>
      <c r="E13" s="244"/>
      <c r="F13" s="180">
        <f>F10</f>
        <v>1200000</v>
      </c>
      <c r="G13" s="28"/>
      <c r="H13" s="254"/>
      <c r="I13" s="255"/>
      <c r="J13" s="38"/>
      <c r="K13" s="38"/>
      <c r="L13" s="256">
        <f>+L12/I12</f>
        <v>0.04512149533</v>
      </c>
      <c r="M13" s="28"/>
      <c r="N13" s="27"/>
      <c r="O13" s="2"/>
      <c r="P13" s="2"/>
      <c r="Q13" s="2"/>
      <c r="R13" s="2"/>
      <c r="S13" s="2"/>
      <c r="T13" s="2"/>
      <c r="U13" s="2"/>
      <c r="V13" s="2"/>
      <c r="W13" s="2"/>
      <c r="X13" s="2"/>
      <c r="Y13" s="2"/>
      <c r="Z13" s="2"/>
    </row>
    <row r="14" ht="17.25" customHeight="1">
      <c r="A14" s="27"/>
      <c r="B14" s="28"/>
      <c r="C14" s="249"/>
      <c r="D14" s="250"/>
      <c r="E14" s="251"/>
      <c r="F14" s="252"/>
      <c r="G14" s="28"/>
      <c r="H14" s="257" t="s">
        <v>243</v>
      </c>
      <c r="I14" s="258"/>
      <c r="J14" s="38"/>
      <c r="K14" s="38"/>
      <c r="L14" s="259"/>
      <c r="M14" s="28"/>
      <c r="N14" s="27"/>
      <c r="O14" s="2"/>
      <c r="P14" s="2"/>
      <c r="Q14" s="2"/>
      <c r="R14" s="2"/>
      <c r="S14" s="2"/>
      <c r="T14" s="2"/>
      <c r="U14" s="2"/>
      <c r="V14" s="2"/>
      <c r="W14" s="2"/>
      <c r="X14" s="2"/>
      <c r="Y14" s="2"/>
      <c r="Z14" s="2"/>
    </row>
    <row r="15" ht="17.25" customHeight="1">
      <c r="A15" s="27"/>
      <c r="B15" s="28"/>
      <c r="C15" s="177" t="s">
        <v>180</v>
      </c>
      <c r="D15" s="217"/>
      <c r="E15" s="244"/>
      <c r="F15" s="180">
        <f>Consideraciones!D18*(F13+F11)</f>
        <v>9360000</v>
      </c>
      <c r="G15" s="28"/>
      <c r="H15" s="245" t="s">
        <v>239</v>
      </c>
      <c r="I15" s="246">
        <f>+Mercado!E24</f>
        <v>165000</v>
      </c>
      <c r="J15" s="260">
        <f>+I15*$I$9</f>
        <v>6600</v>
      </c>
      <c r="K15" s="260">
        <f>IF($E$7="","",$K$6*I15)</f>
        <v>660</v>
      </c>
      <c r="L15" s="253">
        <f>IF($K$6="",J15,+K15+J15)</f>
        <v>7260</v>
      </c>
      <c r="M15" s="28"/>
      <c r="N15" s="27"/>
      <c r="O15" s="2"/>
      <c r="P15" s="2"/>
      <c r="Q15" s="2"/>
      <c r="R15" s="2"/>
      <c r="S15" s="2"/>
      <c r="T15" s="2"/>
      <c r="U15" s="2"/>
      <c r="V15" s="2"/>
      <c r="W15" s="2"/>
      <c r="X15" s="2"/>
      <c r="Y15" s="2"/>
      <c r="Z15" s="2"/>
    </row>
    <row r="16" ht="17.25" customHeight="1">
      <c r="A16" s="27"/>
      <c r="B16" s="28"/>
      <c r="C16" s="261"/>
      <c r="D16" s="262"/>
      <c r="E16" s="263"/>
      <c r="F16" s="264"/>
      <c r="G16" s="28"/>
      <c r="H16" s="245" t="s">
        <v>241</v>
      </c>
      <c r="I16" s="246">
        <f>+Mercado!D24</f>
        <v>150000</v>
      </c>
      <c r="J16" s="260">
        <f>+$I$9*I16</f>
        <v>6000</v>
      </c>
      <c r="K16" s="247">
        <f>IF($E$7="","",$K$7*I16)</f>
        <v>1200</v>
      </c>
      <c r="L16" s="248">
        <f>IF($K$7="",J16,+K16+J16)</f>
        <v>7200</v>
      </c>
      <c r="M16" s="28"/>
      <c r="N16" s="27"/>
      <c r="O16" s="2"/>
      <c r="P16" s="2"/>
      <c r="Q16" s="2"/>
      <c r="R16" s="2"/>
      <c r="S16" s="2"/>
      <c r="T16" s="2"/>
      <c r="U16" s="2"/>
      <c r="V16" s="2"/>
      <c r="W16" s="2"/>
      <c r="X16" s="2"/>
      <c r="Y16" s="2"/>
      <c r="Z16" s="2"/>
    </row>
    <row r="17" ht="17.25" customHeight="1">
      <c r="A17" s="27"/>
      <c r="B17" s="28"/>
      <c r="C17" s="265" t="s">
        <v>181</v>
      </c>
      <c r="D17" s="266"/>
      <c r="E17" s="266"/>
      <c r="F17" s="266"/>
      <c r="G17" s="28"/>
      <c r="H17" s="245" t="s">
        <v>242</v>
      </c>
      <c r="I17" s="246">
        <f>+Mercado!F24</f>
        <v>160500</v>
      </c>
      <c r="J17" s="38"/>
      <c r="K17" s="38"/>
      <c r="L17" s="248">
        <f>+Mercado!$J$6*L15+Mercado!$I$6*L16</f>
        <v>7242</v>
      </c>
      <c r="M17" s="28"/>
      <c r="N17" s="27"/>
      <c r="O17" s="2"/>
      <c r="P17" s="2"/>
      <c r="Q17" s="2"/>
      <c r="R17" s="2"/>
      <c r="S17" s="2"/>
      <c r="T17" s="2"/>
      <c r="U17" s="2"/>
      <c r="V17" s="2"/>
      <c r="W17" s="2"/>
      <c r="X17" s="2"/>
      <c r="Y17" s="2"/>
      <c r="Z17" s="2"/>
    </row>
    <row r="18" ht="17.25" customHeight="1">
      <c r="A18" s="27"/>
      <c r="B18" s="28"/>
      <c r="C18" s="190" t="s">
        <v>244</v>
      </c>
      <c r="D18" s="267"/>
      <c r="E18" s="268"/>
      <c r="F18" s="269">
        <v>0.0</v>
      </c>
      <c r="G18" s="28"/>
      <c r="H18" s="254"/>
      <c r="I18" s="255"/>
      <c r="J18" s="38"/>
      <c r="K18" s="38"/>
      <c r="L18" s="52">
        <f>+L17/I17</f>
        <v>0.04512149533</v>
      </c>
      <c r="M18" s="28"/>
      <c r="N18" s="27"/>
      <c r="O18" s="2"/>
      <c r="P18" s="2"/>
      <c r="Q18" s="2"/>
      <c r="R18" s="2"/>
      <c r="S18" s="2"/>
      <c r="T18" s="2"/>
      <c r="U18" s="2"/>
      <c r="V18" s="2"/>
      <c r="W18" s="2"/>
      <c r="X18" s="2"/>
      <c r="Y18" s="2"/>
      <c r="Z18" s="2"/>
    </row>
    <row r="19" ht="17.25" customHeight="1">
      <c r="A19" s="27"/>
      <c r="B19" s="28"/>
      <c r="C19" s="190" t="s">
        <v>245</v>
      </c>
      <c r="D19" s="191"/>
      <c r="E19" s="192"/>
      <c r="F19" s="198">
        <f>+Consideraciones!D9</f>
        <v>21</v>
      </c>
      <c r="G19" s="28"/>
      <c r="H19" s="257" t="s">
        <v>246</v>
      </c>
      <c r="I19" s="258"/>
      <c r="J19" s="38"/>
      <c r="K19" s="38"/>
      <c r="L19" s="28"/>
      <c r="M19" s="28"/>
      <c r="N19" s="27"/>
      <c r="O19" s="2"/>
      <c r="P19" s="2"/>
      <c r="Q19" s="2"/>
      <c r="R19" s="2"/>
      <c r="S19" s="2"/>
      <c r="T19" s="2"/>
      <c r="U19" s="2"/>
      <c r="V19" s="2"/>
      <c r="W19" s="2"/>
      <c r="X19" s="2"/>
      <c r="Y19" s="2"/>
      <c r="Z19" s="2"/>
    </row>
    <row r="20" ht="17.25" customHeight="1">
      <c r="A20" s="27"/>
      <c r="B20" s="28"/>
      <c r="C20" s="190" t="s">
        <v>42</v>
      </c>
      <c r="D20" s="191"/>
      <c r="E20" s="192"/>
      <c r="F20" s="198">
        <f>+Consideraciones!D10</f>
        <v>12</v>
      </c>
      <c r="G20" s="28"/>
      <c r="H20" s="245" t="s">
        <v>239</v>
      </c>
      <c r="I20" s="246">
        <f>+Mercado!E25</f>
        <v>165000</v>
      </c>
      <c r="J20" s="247">
        <f>+I20*$I$9</f>
        <v>6600</v>
      </c>
      <c r="K20" s="260">
        <f>IF($E$7="","",$K$6*I20)</f>
        <v>660</v>
      </c>
      <c r="L20" s="253">
        <f>IF($K$6="",J20,+K20+J20)</f>
        <v>7260</v>
      </c>
      <c r="M20" s="28"/>
      <c r="N20" s="27"/>
      <c r="O20" s="2"/>
      <c r="P20" s="2"/>
      <c r="Q20" s="2"/>
      <c r="R20" s="2"/>
      <c r="S20" s="2"/>
      <c r="T20" s="2"/>
      <c r="U20" s="2"/>
      <c r="V20" s="2"/>
      <c r="W20" s="2"/>
      <c r="X20" s="2"/>
      <c r="Y20" s="2"/>
      <c r="Z20" s="2"/>
    </row>
    <row r="21" ht="17.25" customHeight="1">
      <c r="A21" s="27"/>
      <c r="B21" s="28"/>
      <c r="C21" s="177" t="s">
        <v>247</v>
      </c>
      <c r="D21" s="217"/>
      <c r="E21" s="244"/>
      <c r="F21" s="180">
        <f>+F20*F19*F18*E7</f>
        <v>0</v>
      </c>
      <c r="G21" s="28"/>
      <c r="H21" s="245" t="s">
        <v>241</v>
      </c>
      <c r="I21" s="246">
        <f>+Mercado!D25</f>
        <v>150000</v>
      </c>
      <c r="J21" s="247">
        <f>+$I$9*I21</f>
        <v>6000</v>
      </c>
      <c r="K21" s="247">
        <f>IF($E$7="","",$K$7*I21)</f>
        <v>1200</v>
      </c>
      <c r="L21" s="248">
        <f>IF($K$7="",J21,+K21+J21)</f>
        <v>7200</v>
      </c>
      <c r="M21" s="28"/>
      <c r="N21" s="27"/>
      <c r="O21" s="2"/>
      <c r="P21" s="2"/>
      <c r="Q21" s="2"/>
      <c r="R21" s="2"/>
      <c r="S21" s="2"/>
      <c r="T21" s="2"/>
      <c r="U21" s="2"/>
      <c r="V21" s="2"/>
      <c r="W21" s="2"/>
      <c r="X21" s="2"/>
      <c r="Y21" s="2"/>
      <c r="Z21" s="2"/>
    </row>
    <row r="22" ht="17.25" customHeight="1">
      <c r="A22" s="27"/>
      <c r="B22" s="28"/>
      <c r="C22" s="249"/>
      <c r="D22" s="250"/>
      <c r="E22" s="251"/>
      <c r="F22" s="252"/>
      <c r="G22" s="28"/>
      <c r="H22" s="245" t="s">
        <v>242</v>
      </c>
      <c r="I22" s="246">
        <f>+Mercado!F25</f>
        <v>160500</v>
      </c>
      <c r="J22" s="38"/>
      <c r="K22" s="38"/>
      <c r="L22" s="253">
        <f>+Mercado!$J$6*L20+Mercado!$I$6*L21</f>
        <v>7242</v>
      </c>
      <c r="M22" s="28"/>
      <c r="N22" s="27"/>
      <c r="O22" s="2"/>
      <c r="P22" s="2"/>
      <c r="Q22" s="2"/>
      <c r="R22" s="2"/>
      <c r="S22" s="2"/>
      <c r="T22" s="2"/>
      <c r="U22" s="2"/>
      <c r="V22" s="2"/>
      <c r="W22" s="2"/>
      <c r="X22" s="2"/>
      <c r="Y22" s="2"/>
      <c r="Z22" s="2"/>
    </row>
    <row r="23" ht="17.25" customHeight="1">
      <c r="A23" s="27"/>
      <c r="B23" s="28"/>
      <c r="C23" s="177" t="s">
        <v>248</v>
      </c>
      <c r="D23" s="217"/>
      <c r="E23" s="244"/>
      <c r="F23" s="180">
        <f>F21+F15+F13+F11</f>
        <v>24960000</v>
      </c>
      <c r="G23" s="28"/>
      <c r="H23" s="254"/>
      <c r="I23" s="255"/>
      <c r="J23" s="38"/>
      <c r="K23" s="38"/>
      <c r="L23" s="52">
        <f>+L22/I22</f>
        <v>0.04512149533</v>
      </c>
      <c r="M23" s="28"/>
      <c r="N23" s="27"/>
      <c r="O23" s="2"/>
      <c r="P23" s="2"/>
      <c r="Q23" s="2"/>
      <c r="R23" s="2"/>
      <c r="S23" s="2"/>
      <c r="T23" s="2"/>
      <c r="U23" s="2"/>
      <c r="V23" s="2"/>
      <c r="W23" s="2"/>
      <c r="X23" s="2"/>
      <c r="Y23" s="2"/>
      <c r="Z23" s="2"/>
    </row>
    <row r="24" ht="12.75" customHeight="1">
      <c r="A24" s="27"/>
      <c r="B24" s="28"/>
      <c r="C24" s="38"/>
      <c r="D24" s="38"/>
      <c r="E24" s="38"/>
      <c r="F24" s="38"/>
      <c r="G24" s="28"/>
      <c r="H24" s="257" t="s">
        <v>249</v>
      </c>
      <c r="I24" s="258"/>
      <c r="J24" s="38"/>
      <c r="K24" s="38"/>
      <c r="L24" s="28"/>
      <c r="M24" s="28"/>
      <c r="N24" s="27"/>
      <c r="O24" s="2"/>
      <c r="P24" s="2"/>
      <c r="Q24" s="2"/>
      <c r="R24" s="2"/>
      <c r="S24" s="2"/>
      <c r="T24" s="2"/>
      <c r="U24" s="2"/>
      <c r="V24" s="2"/>
      <c r="W24" s="2"/>
      <c r="X24" s="2"/>
      <c r="Y24" s="2"/>
      <c r="Z24" s="2"/>
    </row>
    <row r="25" ht="17.25" customHeight="1">
      <c r="A25" s="27"/>
      <c r="B25" s="28"/>
      <c r="C25" s="167" t="s">
        <v>250</v>
      </c>
      <c r="D25" s="38"/>
      <c r="E25" s="38"/>
      <c r="F25" s="38"/>
      <c r="G25" s="28"/>
      <c r="H25" s="245" t="s">
        <v>239</v>
      </c>
      <c r="I25" s="246">
        <f>+Mercado!E26</f>
        <v>165000</v>
      </c>
      <c r="J25" s="247">
        <f>+I25*$I$9</f>
        <v>6600</v>
      </c>
      <c r="K25" s="260">
        <f>IF($E$7="","",$K$6*I25)</f>
        <v>660</v>
      </c>
      <c r="L25" s="253">
        <f>IF($K$6="",J25,+K25+J25)</f>
        <v>7260</v>
      </c>
      <c r="M25" s="28"/>
      <c r="N25" s="27"/>
      <c r="O25" s="2"/>
      <c r="P25" s="2"/>
      <c r="Q25" s="2"/>
      <c r="R25" s="2"/>
      <c r="S25" s="2"/>
      <c r="T25" s="2"/>
      <c r="U25" s="2"/>
      <c r="V25" s="2"/>
      <c r="W25" s="2"/>
      <c r="X25" s="2"/>
      <c r="Y25" s="2"/>
      <c r="Z25" s="2"/>
    </row>
    <row r="26" ht="17.25" customHeight="1">
      <c r="A26" s="27"/>
      <c r="B26" s="28"/>
      <c r="C26" s="270" t="s">
        <v>203</v>
      </c>
      <c r="D26" s="271">
        <v>8.0</v>
      </c>
      <c r="E26" s="38"/>
      <c r="F26" s="38"/>
      <c r="G26" s="28"/>
      <c r="H26" s="245" t="s">
        <v>241</v>
      </c>
      <c r="I26" s="246">
        <f>+Mercado!D26</f>
        <v>150000</v>
      </c>
      <c r="J26" s="247">
        <f>+$I$9*I26</f>
        <v>6000</v>
      </c>
      <c r="K26" s="247">
        <f>IF($E$7="","",$K$7*I26)</f>
        <v>1200</v>
      </c>
      <c r="L26" s="248">
        <f>IF($K$7="",J26,+K26+J26)</f>
        <v>7200</v>
      </c>
      <c r="M26" s="28"/>
      <c r="N26" s="27"/>
      <c r="O26" s="2"/>
      <c r="P26" s="2"/>
      <c r="Q26" s="2"/>
      <c r="R26" s="2"/>
      <c r="S26" s="2"/>
      <c r="T26" s="2"/>
      <c r="U26" s="2"/>
      <c r="V26" s="2"/>
      <c r="W26" s="2"/>
      <c r="X26" s="2"/>
      <c r="Y26" s="2"/>
      <c r="Z26" s="2"/>
    </row>
    <row r="27" ht="17.25" customHeight="1">
      <c r="A27" s="27"/>
      <c r="B27" s="28"/>
      <c r="C27" s="169" t="s">
        <v>251</v>
      </c>
      <c r="D27" s="169" t="s">
        <v>252</v>
      </c>
      <c r="E27" s="46" t="s">
        <v>253</v>
      </c>
      <c r="F27" s="169" t="s">
        <v>158</v>
      </c>
      <c r="G27" s="28"/>
      <c r="H27" s="245" t="s">
        <v>242</v>
      </c>
      <c r="I27" s="246">
        <f>+Mercado!F26</f>
        <v>160500</v>
      </c>
      <c r="J27" s="38"/>
      <c r="K27" s="38"/>
      <c r="L27" s="253">
        <f>+Mercado!$J$6*L25+Mercado!$I$6*L26</f>
        <v>7242</v>
      </c>
      <c r="M27" s="28"/>
      <c r="N27" s="27"/>
      <c r="O27" s="2"/>
      <c r="P27" s="2"/>
      <c r="Q27" s="2"/>
      <c r="R27" s="2"/>
      <c r="S27" s="2"/>
      <c r="T27" s="2"/>
      <c r="U27" s="2"/>
      <c r="V27" s="2"/>
      <c r="W27" s="2"/>
      <c r="X27" s="2"/>
      <c r="Y27" s="2"/>
      <c r="Z27" s="2"/>
    </row>
    <row r="28" ht="17.25" customHeight="1">
      <c r="A28" s="27"/>
      <c r="B28" s="28"/>
      <c r="C28" s="272">
        <v>1.0</v>
      </c>
      <c r="D28" s="273">
        <v>5.0</v>
      </c>
      <c r="E28" s="274">
        <v>8.9</v>
      </c>
      <c r="F28" s="172">
        <f>C28*D28*E28*Consideraciones!D9*Consideraciones!D13*Consideraciones!D10</f>
        <v>89712</v>
      </c>
      <c r="G28" s="28"/>
      <c r="H28" s="254"/>
      <c r="I28" s="255"/>
      <c r="J28" s="38"/>
      <c r="K28" s="38"/>
      <c r="L28" s="52">
        <f>+L27/I27</f>
        <v>0.04512149533</v>
      </c>
      <c r="M28" s="28"/>
      <c r="N28" s="27"/>
      <c r="O28" s="2"/>
      <c r="P28" s="2"/>
      <c r="Q28" s="2"/>
      <c r="R28" s="2"/>
      <c r="S28" s="2"/>
      <c r="T28" s="2"/>
      <c r="U28" s="2"/>
      <c r="V28" s="2"/>
      <c r="W28" s="2"/>
      <c r="X28" s="2"/>
      <c r="Y28" s="2"/>
      <c r="Z28" s="2"/>
    </row>
    <row r="29" ht="17.25" customHeight="1">
      <c r="A29" s="27"/>
      <c r="B29" s="28"/>
      <c r="C29" s="177" t="s">
        <v>218</v>
      </c>
      <c r="D29" s="217"/>
      <c r="E29" s="244"/>
      <c r="F29" s="180">
        <f>F28</f>
        <v>89712</v>
      </c>
      <c r="G29" s="28"/>
      <c r="H29" s="257" t="s">
        <v>254</v>
      </c>
      <c r="I29" s="258"/>
      <c r="J29" s="38"/>
      <c r="K29" s="38"/>
      <c r="L29" s="28"/>
      <c r="M29" s="28"/>
      <c r="N29" s="27"/>
      <c r="O29" s="2"/>
      <c r="P29" s="2"/>
      <c r="Q29" s="2"/>
      <c r="R29" s="2"/>
      <c r="S29" s="2"/>
      <c r="T29" s="2"/>
      <c r="U29" s="2"/>
      <c r="V29" s="2"/>
      <c r="W29" s="2"/>
      <c r="X29" s="2"/>
      <c r="Y29" s="2"/>
      <c r="Z29" s="2"/>
    </row>
    <row r="30" ht="17.25" customHeight="1">
      <c r="A30" s="27"/>
      <c r="B30" s="28"/>
      <c r="C30" s="28"/>
      <c r="D30" s="28"/>
      <c r="E30" s="28"/>
      <c r="F30" s="28"/>
      <c r="G30" s="28"/>
      <c r="H30" s="275" t="s">
        <v>239</v>
      </c>
      <c r="I30" s="152">
        <f>+Mercado!E27</f>
        <v>165000</v>
      </c>
      <c r="J30" s="276">
        <f>+I30*$I$9</f>
        <v>6600</v>
      </c>
      <c r="K30" s="277">
        <f>IF($E$7="","",$K$6*I30)</f>
        <v>660</v>
      </c>
      <c r="L30" s="278">
        <f>IF($K$6="",J30,+K30+J30)</f>
        <v>7260</v>
      </c>
      <c r="M30" s="28"/>
      <c r="N30" s="27"/>
      <c r="O30" s="2"/>
      <c r="P30" s="2"/>
      <c r="Q30" s="2"/>
      <c r="R30" s="2"/>
      <c r="S30" s="2"/>
      <c r="T30" s="2"/>
      <c r="U30" s="2"/>
      <c r="V30" s="2"/>
      <c r="W30" s="2"/>
      <c r="X30" s="2"/>
      <c r="Y30" s="2"/>
      <c r="Z30" s="2"/>
    </row>
    <row r="31" ht="24.75" customHeight="1">
      <c r="A31" s="27"/>
      <c r="B31" s="28"/>
      <c r="C31" s="46" t="s">
        <v>155</v>
      </c>
      <c r="D31" s="46" t="s">
        <v>255</v>
      </c>
      <c r="E31" s="46" t="s">
        <v>157</v>
      </c>
      <c r="F31" s="46" t="s">
        <v>158</v>
      </c>
      <c r="G31" s="28"/>
      <c r="H31" s="245" t="s">
        <v>241</v>
      </c>
      <c r="I31" s="246">
        <f>+Mercado!D27</f>
        <v>150000</v>
      </c>
      <c r="J31" s="247">
        <f>+$I$9*I31</f>
        <v>6000</v>
      </c>
      <c r="K31" s="247">
        <f>IF($E$7="","",$K$7*I31)</f>
        <v>1200</v>
      </c>
      <c r="L31" s="248">
        <f>IF($K$7="",J31,+K31+J31)</f>
        <v>7200</v>
      </c>
      <c r="M31" s="28"/>
      <c r="N31" s="27"/>
      <c r="O31" s="2"/>
      <c r="P31" s="2"/>
      <c r="Q31" s="2"/>
      <c r="R31" s="2"/>
      <c r="S31" s="2"/>
      <c r="T31" s="2"/>
      <c r="U31" s="2"/>
      <c r="V31" s="2"/>
      <c r="W31" s="2"/>
      <c r="X31" s="2"/>
      <c r="Y31" s="2"/>
      <c r="Z31" s="2"/>
    </row>
    <row r="32" ht="17.25" customHeight="1">
      <c r="A32" s="27"/>
      <c r="B32" s="28"/>
      <c r="C32" s="170" t="s">
        <v>256</v>
      </c>
      <c r="D32" s="211">
        <v>0.0</v>
      </c>
      <c r="E32" s="279">
        <v>0.0</v>
      </c>
      <c r="F32" s="172">
        <f>E32*D32</f>
        <v>0</v>
      </c>
      <c r="G32" s="28"/>
      <c r="H32" s="245" t="s">
        <v>242</v>
      </c>
      <c r="I32" s="246">
        <f>+Mercado!F27</f>
        <v>160500</v>
      </c>
      <c r="J32" s="38"/>
      <c r="K32" s="38"/>
      <c r="L32" s="253">
        <f>+Mercado!$J$6*L30+Mercado!$I$6*L31</f>
        <v>7242</v>
      </c>
      <c r="M32" s="28"/>
      <c r="N32" s="27"/>
      <c r="O32" s="2"/>
      <c r="P32" s="2"/>
      <c r="Q32" s="2"/>
      <c r="R32" s="2"/>
      <c r="S32" s="2"/>
      <c r="T32" s="2"/>
      <c r="U32" s="2"/>
      <c r="V32" s="2"/>
      <c r="W32" s="2"/>
      <c r="X32" s="2"/>
      <c r="Y32" s="2"/>
      <c r="Z32" s="2"/>
    </row>
    <row r="33" ht="17.25" customHeight="1">
      <c r="A33" s="27"/>
      <c r="B33" s="28"/>
      <c r="C33" s="177" t="s">
        <v>257</v>
      </c>
      <c r="D33" s="217"/>
      <c r="E33" s="244"/>
      <c r="F33" s="180">
        <f>F32*12</f>
        <v>0</v>
      </c>
      <c r="G33" s="28"/>
      <c r="H33" s="280"/>
      <c r="I33" s="255"/>
      <c r="J33" s="38"/>
      <c r="K33" s="38"/>
      <c r="L33" s="52">
        <f>+L32/I32</f>
        <v>0.04512149533</v>
      </c>
      <c r="M33" s="28"/>
      <c r="N33" s="27"/>
      <c r="O33" s="2"/>
      <c r="P33" s="2"/>
      <c r="Q33" s="2"/>
      <c r="R33" s="2"/>
      <c r="S33" s="2"/>
      <c r="T33" s="2"/>
      <c r="U33" s="2"/>
      <c r="V33" s="2"/>
      <c r="W33" s="2"/>
      <c r="X33" s="2"/>
      <c r="Y33" s="2"/>
      <c r="Z33" s="2"/>
    </row>
    <row r="34" ht="17.25" customHeight="1">
      <c r="A34" s="27"/>
      <c r="B34" s="28"/>
      <c r="C34" s="249"/>
      <c r="D34" s="250"/>
      <c r="E34" s="251"/>
      <c r="F34" s="252"/>
      <c r="G34" s="28"/>
      <c r="H34" s="28"/>
      <c r="I34" s="28"/>
      <c r="J34" s="28"/>
      <c r="K34" s="28"/>
      <c r="L34" s="28"/>
      <c r="M34" s="28"/>
      <c r="N34" s="27"/>
      <c r="O34" s="2"/>
      <c r="P34" s="2"/>
      <c r="Q34" s="2"/>
      <c r="R34" s="2"/>
      <c r="S34" s="2"/>
      <c r="T34" s="2"/>
      <c r="U34" s="2"/>
      <c r="V34" s="2"/>
      <c r="W34" s="2"/>
      <c r="X34" s="2"/>
      <c r="Y34" s="2"/>
      <c r="Z34" s="2"/>
    </row>
    <row r="35" ht="17.25" customHeight="1">
      <c r="A35" s="27"/>
      <c r="B35" s="28"/>
      <c r="C35" s="177" t="s">
        <v>179</v>
      </c>
      <c r="D35" s="217"/>
      <c r="E35" s="244"/>
      <c r="F35" s="180">
        <f>F32</f>
        <v>0</v>
      </c>
      <c r="G35" s="28"/>
      <c r="H35" s="265" t="s">
        <v>258</v>
      </c>
      <c r="I35" s="28"/>
      <c r="J35" s="28"/>
      <c r="K35" s="28"/>
      <c r="L35" s="28"/>
      <c r="M35" s="28"/>
      <c r="N35" s="27"/>
      <c r="O35" s="2"/>
      <c r="P35" s="2"/>
      <c r="Q35" s="2"/>
      <c r="R35" s="2"/>
      <c r="S35" s="2"/>
      <c r="T35" s="2"/>
      <c r="U35" s="2"/>
      <c r="V35" s="2"/>
      <c r="W35" s="2"/>
      <c r="X35" s="2"/>
      <c r="Y35" s="2"/>
      <c r="Z35" s="2"/>
    </row>
    <row r="36" ht="17.25" customHeight="1">
      <c r="A36" s="27"/>
      <c r="B36" s="28"/>
      <c r="C36" s="249"/>
      <c r="D36" s="250"/>
      <c r="E36" s="251"/>
      <c r="F36" s="252"/>
      <c r="G36" s="28"/>
      <c r="H36" s="228" t="s">
        <v>220</v>
      </c>
      <c r="I36" s="224"/>
      <c r="J36" s="224"/>
      <c r="K36" s="281" t="s">
        <v>178</v>
      </c>
      <c r="L36" s="45"/>
      <c r="M36" s="28"/>
      <c r="N36" s="27"/>
      <c r="O36" s="2"/>
      <c r="P36" s="2"/>
      <c r="Q36" s="2"/>
      <c r="R36" s="2"/>
      <c r="S36" s="2"/>
      <c r="T36" s="2"/>
      <c r="U36" s="2"/>
      <c r="V36" s="2"/>
      <c r="W36" s="2"/>
      <c r="X36" s="2"/>
      <c r="Y36" s="2"/>
      <c r="Z36" s="2"/>
    </row>
    <row r="37" ht="17.25" customHeight="1">
      <c r="A37" s="27"/>
      <c r="B37" s="28"/>
      <c r="C37" s="177" t="s">
        <v>180</v>
      </c>
      <c r="D37" s="217"/>
      <c r="E37" s="244"/>
      <c r="F37" s="180">
        <f>Consideraciones!D18*(F35+F33)</f>
        <v>0</v>
      </c>
      <c r="G37" s="28"/>
      <c r="H37" s="282"/>
      <c r="I37" s="283"/>
      <c r="J37" s="283"/>
      <c r="K37" s="284"/>
      <c r="L37" s="45"/>
      <c r="M37" s="28"/>
      <c r="N37" s="27"/>
      <c r="O37" s="2"/>
      <c r="P37" s="2"/>
      <c r="Q37" s="2"/>
      <c r="R37" s="2"/>
      <c r="S37" s="2"/>
      <c r="T37" s="2"/>
      <c r="U37" s="2"/>
      <c r="V37" s="2"/>
      <c r="W37" s="2"/>
      <c r="X37" s="2"/>
      <c r="Y37" s="2"/>
      <c r="Z37" s="2"/>
    </row>
    <row r="38" ht="12.75" customHeight="1">
      <c r="A38" s="27"/>
      <c r="B38" s="28"/>
      <c r="C38" s="261"/>
      <c r="D38" s="262"/>
      <c r="E38" s="263"/>
      <c r="F38" s="264"/>
      <c r="G38" s="28"/>
      <c r="H38" s="282" t="s">
        <v>259</v>
      </c>
      <c r="I38" s="283"/>
      <c r="J38" s="283"/>
      <c r="K38" s="285">
        <f>300000*12</f>
        <v>3600000</v>
      </c>
      <c r="L38" s="45"/>
      <c r="M38" s="28"/>
      <c r="N38" s="27"/>
      <c r="O38" s="2"/>
      <c r="P38" s="2"/>
      <c r="Q38" s="2"/>
      <c r="R38" s="2"/>
      <c r="S38" s="2"/>
      <c r="T38" s="2"/>
      <c r="U38" s="2"/>
      <c r="V38" s="2"/>
      <c r="W38" s="2"/>
      <c r="X38" s="2"/>
      <c r="Y38" s="2"/>
      <c r="Z38" s="2"/>
    </row>
    <row r="39" ht="17.25" customHeight="1">
      <c r="A39" s="27"/>
      <c r="B39" s="28"/>
      <c r="C39" s="265" t="s">
        <v>181</v>
      </c>
      <c r="D39" s="266"/>
      <c r="E39" s="266"/>
      <c r="F39" s="266"/>
      <c r="G39" s="28"/>
      <c r="H39" s="282" t="s">
        <v>260</v>
      </c>
      <c r="I39" s="283"/>
      <c r="J39" s="283"/>
      <c r="K39" s="285">
        <f>400000*12</f>
        <v>4800000</v>
      </c>
      <c r="L39" s="45"/>
      <c r="M39" s="83"/>
      <c r="N39" s="27"/>
      <c r="O39" s="2"/>
      <c r="P39" s="2"/>
      <c r="Q39" s="2"/>
      <c r="R39" s="2"/>
      <c r="S39" s="2"/>
      <c r="T39" s="2"/>
      <c r="U39" s="2"/>
      <c r="V39" s="2"/>
      <c r="W39" s="2"/>
      <c r="X39" s="2"/>
      <c r="Y39" s="2"/>
      <c r="Z39" s="2"/>
    </row>
    <row r="40" ht="17.25" customHeight="1">
      <c r="A40" s="27"/>
      <c r="B40" s="28"/>
      <c r="C40" s="190" t="s">
        <v>244</v>
      </c>
      <c r="D40" s="267"/>
      <c r="E40" s="268"/>
      <c r="F40" s="269">
        <v>0.0</v>
      </c>
      <c r="G40" s="28"/>
      <c r="H40" s="286"/>
      <c r="I40" s="283"/>
      <c r="J40" s="283"/>
      <c r="K40" s="285"/>
      <c r="L40" s="45"/>
      <c r="M40" s="28"/>
      <c r="N40" s="27"/>
      <c r="O40" s="2"/>
      <c r="P40" s="2"/>
      <c r="Q40" s="2"/>
      <c r="R40" s="2"/>
      <c r="S40" s="2"/>
      <c r="T40" s="2"/>
      <c r="U40" s="2"/>
      <c r="V40" s="2"/>
      <c r="W40" s="2"/>
      <c r="X40" s="2"/>
      <c r="Y40" s="2"/>
      <c r="Z40" s="2"/>
    </row>
    <row r="41" ht="17.25" customHeight="1">
      <c r="A41" s="27"/>
      <c r="B41" s="28"/>
      <c r="C41" s="190" t="s">
        <v>245</v>
      </c>
      <c r="D41" s="267"/>
      <c r="E41" s="268"/>
      <c r="F41" s="287">
        <f>+Consideraciones!D9</f>
        <v>21</v>
      </c>
      <c r="G41" s="28"/>
      <c r="H41" s="177" t="s">
        <v>258</v>
      </c>
      <c r="I41" s="217"/>
      <c r="J41" s="288"/>
      <c r="K41" s="289">
        <f>SUM(K37:K40)</f>
        <v>8400000</v>
      </c>
      <c r="L41" s="45"/>
      <c r="M41" s="83"/>
      <c r="N41" s="27"/>
      <c r="O41" s="2"/>
      <c r="P41" s="2"/>
      <c r="Q41" s="2"/>
      <c r="R41" s="2"/>
      <c r="S41" s="2"/>
      <c r="T41" s="2"/>
      <c r="U41" s="2"/>
      <c r="V41" s="2"/>
      <c r="W41" s="2"/>
      <c r="X41" s="2"/>
      <c r="Y41" s="2"/>
      <c r="Z41" s="2"/>
    </row>
    <row r="42" ht="17.25" customHeight="1">
      <c r="A42" s="27"/>
      <c r="B42" s="28"/>
      <c r="C42" s="190" t="s">
        <v>42</v>
      </c>
      <c r="D42" s="267"/>
      <c r="E42" s="268"/>
      <c r="F42" s="287">
        <f>+Consideraciones!D10</f>
        <v>12</v>
      </c>
      <c r="G42" s="28"/>
      <c r="H42" s="28"/>
      <c r="J42" s="28"/>
      <c r="K42" s="28"/>
      <c r="L42" s="28"/>
      <c r="M42" s="28"/>
      <c r="N42" s="27"/>
      <c r="O42" s="2"/>
      <c r="P42" s="2"/>
      <c r="Q42" s="2"/>
      <c r="R42" s="2"/>
      <c r="S42" s="2"/>
      <c r="T42" s="2"/>
      <c r="U42" s="2"/>
      <c r="V42" s="2"/>
      <c r="W42" s="2"/>
      <c r="X42" s="2"/>
      <c r="Y42" s="2"/>
      <c r="Z42" s="2"/>
    </row>
    <row r="43" ht="17.25" customHeight="1">
      <c r="A43" s="27"/>
      <c r="B43" s="28"/>
      <c r="C43" s="177" t="s">
        <v>247</v>
      </c>
      <c r="D43" s="217"/>
      <c r="E43" s="244"/>
      <c r="F43" s="180">
        <f>+F42*F41*F40*E32</f>
        <v>0</v>
      </c>
      <c r="G43" s="28"/>
      <c r="H43" s="28"/>
      <c r="I43" s="28"/>
      <c r="J43" s="28"/>
      <c r="K43" s="28"/>
      <c r="L43" s="28"/>
      <c r="M43" s="28"/>
      <c r="N43" s="27"/>
      <c r="O43" s="2"/>
      <c r="P43" s="2"/>
      <c r="Q43" s="2"/>
      <c r="R43" s="2"/>
      <c r="S43" s="2"/>
      <c r="T43" s="2"/>
      <c r="U43" s="2"/>
      <c r="V43" s="2"/>
      <c r="W43" s="2"/>
      <c r="X43" s="2"/>
      <c r="Y43" s="2"/>
      <c r="Z43" s="2"/>
    </row>
    <row r="44" ht="17.25" customHeight="1">
      <c r="A44" s="27"/>
      <c r="B44" s="28"/>
      <c r="C44" s="249"/>
      <c r="D44" s="250"/>
      <c r="E44" s="251"/>
      <c r="F44" s="252"/>
      <c r="G44" s="28"/>
      <c r="H44" s="177" t="s">
        <v>228</v>
      </c>
      <c r="I44" s="181"/>
      <c r="J44" s="181"/>
      <c r="K44" s="290">
        <f>K41+F47+F29+F23</f>
        <v>33449712</v>
      </c>
      <c r="L44" s="45"/>
      <c r="M44" s="28"/>
      <c r="N44" s="27"/>
      <c r="O44" s="2"/>
      <c r="P44" s="2"/>
      <c r="Q44" s="2"/>
      <c r="R44" s="2"/>
      <c r="S44" s="2"/>
      <c r="T44" s="2"/>
      <c r="U44" s="2"/>
      <c r="V44" s="2"/>
      <c r="W44" s="2"/>
      <c r="X44" s="2"/>
      <c r="Y44" s="2"/>
      <c r="Z44" s="2"/>
    </row>
    <row r="45" ht="17.25" customHeight="1">
      <c r="A45" s="27"/>
      <c r="B45" s="28"/>
      <c r="C45" s="190" t="s">
        <v>261</v>
      </c>
      <c r="D45" s="267"/>
      <c r="E45" s="268"/>
      <c r="F45" s="269">
        <f>300000* E32* F42</f>
        <v>0</v>
      </c>
      <c r="G45" s="28"/>
      <c r="M45" s="28"/>
      <c r="N45" s="27"/>
      <c r="O45" s="2"/>
      <c r="P45" s="2"/>
      <c r="Q45" s="2"/>
      <c r="R45" s="2"/>
      <c r="S45" s="2"/>
      <c r="T45" s="2"/>
      <c r="U45" s="2"/>
      <c r="V45" s="2"/>
      <c r="W45" s="2"/>
      <c r="X45" s="2"/>
      <c r="Y45" s="2"/>
      <c r="Z45" s="2"/>
    </row>
    <row r="46" ht="17.25" customHeight="1">
      <c r="A46" s="27"/>
      <c r="B46" s="28"/>
      <c r="C46" s="249"/>
      <c r="D46" s="250"/>
      <c r="E46" s="251"/>
      <c r="F46" s="252"/>
      <c r="G46" s="28"/>
      <c r="H46" s="28"/>
      <c r="I46" s="28"/>
      <c r="J46" s="28"/>
      <c r="K46" s="28"/>
      <c r="L46" s="28"/>
      <c r="M46" s="28"/>
      <c r="N46" s="27"/>
      <c r="O46" s="2"/>
      <c r="P46" s="2"/>
      <c r="Q46" s="2"/>
      <c r="R46" s="2"/>
      <c r="S46" s="2"/>
      <c r="T46" s="2"/>
      <c r="U46" s="2"/>
      <c r="V46" s="2"/>
      <c r="W46" s="2"/>
      <c r="X46" s="2"/>
      <c r="Y46" s="2"/>
      <c r="Z46" s="2"/>
    </row>
    <row r="47" ht="17.25" customHeight="1">
      <c r="A47" s="27"/>
      <c r="B47" s="28"/>
      <c r="C47" s="177" t="s">
        <v>262</v>
      </c>
      <c r="D47" s="217"/>
      <c r="E47" s="244"/>
      <c r="F47" s="180">
        <f>F45+F43+F37+F35+F33</f>
        <v>0</v>
      </c>
      <c r="G47" s="28"/>
      <c r="H47" s="28"/>
      <c r="I47" s="28"/>
      <c r="J47" s="28"/>
      <c r="K47" s="28"/>
      <c r="L47" s="28"/>
      <c r="M47" s="28"/>
      <c r="N47" s="27"/>
      <c r="O47" s="2"/>
      <c r="P47" s="2"/>
      <c r="Q47" s="2"/>
      <c r="R47" s="2"/>
      <c r="S47" s="2"/>
      <c r="T47" s="2"/>
      <c r="U47" s="2"/>
      <c r="V47" s="2"/>
      <c r="W47" s="2"/>
      <c r="X47" s="2"/>
      <c r="Y47" s="2"/>
      <c r="Z47" s="2"/>
    </row>
    <row r="48" ht="18.0" customHeight="1">
      <c r="A48" s="27"/>
      <c r="B48" s="28"/>
      <c r="C48" s="28"/>
      <c r="D48" s="28"/>
      <c r="E48" s="28"/>
      <c r="F48" s="28"/>
      <c r="G48" s="28"/>
      <c r="H48" s="28"/>
      <c r="I48" s="28"/>
      <c r="J48" s="28"/>
      <c r="K48" s="28"/>
      <c r="L48" s="28"/>
      <c r="M48" s="28"/>
      <c r="N48" s="27"/>
      <c r="O48" s="2"/>
      <c r="P48" s="2"/>
      <c r="Q48" s="2"/>
      <c r="R48" s="2"/>
      <c r="S48" s="2"/>
      <c r="T48" s="2"/>
      <c r="U48" s="2"/>
      <c r="V48" s="2"/>
      <c r="W48" s="2"/>
      <c r="X48" s="2"/>
      <c r="Y48" s="2"/>
      <c r="Z48" s="2"/>
    </row>
    <row r="49" ht="18.0" customHeight="1">
      <c r="A49" s="27"/>
      <c r="B49" s="27"/>
      <c r="C49" s="27"/>
      <c r="D49" s="27"/>
      <c r="E49" s="27"/>
      <c r="F49" s="27"/>
      <c r="G49" s="27"/>
      <c r="H49" s="27"/>
      <c r="I49" s="27"/>
      <c r="J49" s="27"/>
      <c r="K49" s="27"/>
      <c r="L49" s="27"/>
      <c r="M49" s="27"/>
      <c r="N49" s="27"/>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7">
    <mergeCell ref="K36:L36"/>
    <mergeCell ref="K37:L37"/>
    <mergeCell ref="K38:L38"/>
    <mergeCell ref="K39:L39"/>
    <mergeCell ref="K40:L40"/>
    <mergeCell ref="K41:L41"/>
    <mergeCell ref="K44:L44"/>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1" width="17.29"/>
    <col customWidth="1" min="2" max="2" width="3.43"/>
    <col customWidth="1" min="3" max="3" width="40.43"/>
    <col customWidth="1" min="4" max="4" width="14.86"/>
    <col customWidth="1" min="5" max="5" width="14.29"/>
    <col customWidth="1" min="6" max="6" width="13.57"/>
    <col customWidth="1" min="7" max="7" width="9.14"/>
    <col customWidth="1" min="8" max="8" width="11.29"/>
    <col customWidth="1" min="9" max="17" width="12.14"/>
    <col customWidth="1" min="18" max="26" width="17.29"/>
  </cols>
  <sheetData>
    <row r="1" ht="15.75" customHeight="1">
      <c r="A1" s="27"/>
      <c r="B1" s="27"/>
      <c r="C1" s="27"/>
      <c r="D1" s="27"/>
      <c r="E1" s="27"/>
      <c r="F1" s="27"/>
      <c r="G1" s="27"/>
      <c r="H1" s="27"/>
      <c r="I1" s="27"/>
      <c r="J1" s="2"/>
      <c r="K1" s="2"/>
      <c r="L1" s="2"/>
      <c r="M1" s="2"/>
      <c r="N1" s="2"/>
      <c r="O1" s="2"/>
      <c r="P1" s="2"/>
      <c r="Q1" s="2"/>
      <c r="R1" s="2"/>
      <c r="S1" s="2"/>
      <c r="T1" s="2"/>
      <c r="U1" s="2"/>
      <c r="V1" s="2"/>
      <c r="W1" s="2"/>
      <c r="X1" s="2"/>
      <c r="Y1" s="2"/>
      <c r="Z1" s="2"/>
    </row>
    <row r="2" ht="18.0" customHeight="1">
      <c r="A2" s="27"/>
      <c r="B2" s="28"/>
      <c r="C2" s="38"/>
      <c r="D2" s="38"/>
      <c r="E2" s="38"/>
      <c r="F2" s="38"/>
      <c r="G2" s="38"/>
      <c r="H2" s="91"/>
      <c r="I2" s="27"/>
      <c r="J2" s="2"/>
      <c r="K2" s="2"/>
      <c r="L2" s="2"/>
      <c r="M2" s="2"/>
      <c r="N2" s="2"/>
      <c r="O2" s="2"/>
      <c r="P2" s="2"/>
      <c r="Q2" s="2"/>
      <c r="R2" s="2"/>
      <c r="S2" s="2"/>
      <c r="T2" s="2"/>
      <c r="U2" s="2"/>
      <c r="V2" s="2"/>
      <c r="W2" s="2"/>
      <c r="X2" s="2"/>
      <c r="Y2" s="2"/>
      <c r="Z2" s="2"/>
    </row>
    <row r="3" ht="17.25" customHeight="1">
      <c r="A3" s="27"/>
      <c r="B3" s="28"/>
      <c r="C3" s="165" t="s">
        <v>263</v>
      </c>
      <c r="D3" s="38"/>
      <c r="E3" s="38"/>
      <c r="F3" s="38"/>
      <c r="G3" s="38"/>
      <c r="H3" s="91"/>
      <c r="I3" s="27"/>
      <c r="J3" s="2"/>
      <c r="K3" s="2"/>
      <c r="L3" s="2"/>
      <c r="M3" s="2"/>
      <c r="N3" s="2"/>
      <c r="O3" s="2"/>
      <c r="P3" s="2"/>
      <c r="Q3" s="2"/>
      <c r="R3" s="2"/>
      <c r="S3" s="2"/>
      <c r="T3" s="2"/>
      <c r="U3" s="2"/>
      <c r="V3" s="2"/>
      <c r="W3" s="2"/>
      <c r="X3" s="2"/>
      <c r="Y3" s="2"/>
      <c r="Z3" s="2"/>
    </row>
    <row r="4" ht="18.0" customHeight="1">
      <c r="A4" s="27"/>
      <c r="B4" s="28"/>
      <c r="C4" s="38"/>
      <c r="D4" s="38"/>
      <c r="E4" s="38"/>
      <c r="F4" s="38"/>
      <c r="G4" s="38"/>
      <c r="H4" s="91"/>
      <c r="I4" s="27"/>
      <c r="J4" s="2"/>
      <c r="K4" s="2"/>
      <c r="L4" s="2"/>
      <c r="M4" s="2"/>
      <c r="N4" s="2"/>
      <c r="O4" s="2"/>
      <c r="P4" s="2"/>
      <c r="Q4" s="2"/>
      <c r="R4" s="2"/>
      <c r="S4" s="2"/>
      <c r="T4" s="2"/>
      <c r="U4" s="2"/>
      <c r="V4" s="2"/>
      <c r="W4" s="2"/>
      <c r="X4" s="2"/>
      <c r="Y4" s="2"/>
      <c r="Z4" s="2"/>
    </row>
    <row r="5" ht="26.25" customHeight="1">
      <c r="A5" s="27"/>
      <c r="B5" s="28"/>
      <c r="C5" s="38"/>
      <c r="D5" s="46" t="s">
        <v>156</v>
      </c>
      <c r="E5" s="46" t="s">
        <v>157</v>
      </c>
      <c r="F5" s="46" t="s">
        <v>158</v>
      </c>
      <c r="G5" s="38"/>
      <c r="H5" s="91"/>
      <c r="I5" s="27"/>
      <c r="J5" s="2"/>
      <c r="K5" s="2"/>
      <c r="L5" s="2"/>
      <c r="M5" s="2"/>
      <c r="N5" s="2"/>
      <c r="O5" s="2"/>
      <c r="P5" s="2"/>
      <c r="Q5" s="2"/>
      <c r="R5" s="2"/>
      <c r="S5" s="2"/>
      <c r="T5" s="2"/>
      <c r="U5" s="2"/>
      <c r="V5" s="2"/>
      <c r="W5" s="2"/>
      <c r="X5" s="2"/>
      <c r="Y5" s="2"/>
      <c r="Z5" s="2"/>
    </row>
    <row r="6" ht="17.25" customHeight="1">
      <c r="A6" s="27"/>
      <c r="B6" s="28"/>
      <c r="C6" s="291" t="s">
        <v>264</v>
      </c>
      <c r="D6" s="292">
        <v>1300000.0</v>
      </c>
      <c r="E6" s="293">
        <v>1.0</v>
      </c>
      <c r="F6" s="172">
        <f t="shared" ref="F6:F9" si="1">E6*D6</f>
        <v>1300000</v>
      </c>
      <c r="G6" s="38"/>
      <c r="H6" s="91"/>
      <c r="I6" s="27"/>
      <c r="J6" s="2"/>
      <c r="K6" s="2"/>
      <c r="L6" s="2"/>
      <c r="M6" s="2"/>
      <c r="N6" s="2"/>
      <c r="O6" s="2"/>
      <c r="P6" s="2"/>
      <c r="Q6" s="2"/>
      <c r="R6" s="2"/>
      <c r="S6" s="2"/>
      <c r="T6" s="2"/>
      <c r="U6" s="2"/>
      <c r="V6" s="2"/>
      <c r="W6" s="2"/>
      <c r="X6" s="2"/>
      <c r="Y6" s="2"/>
      <c r="Z6" s="2"/>
    </row>
    <row r="7" ht="17.25" customHeight="1">
      <c r="A7" s="27"/>
      <c r="B7" s="43"/>
      <c r="C7" s="294"/>
      <c r="D7" s="292">
        <v>0.0</v>
      </c>
      <c r="E7" s="293">
        <v>0.0</v>
      </c>
      <c r="F7" s="172">
        <f t="shared" si="1"/>
        <v>0</v>
      </c>
      <c r="G7" s="38"/>
      <c r="H7" s="91"/>
      <c r="I7" s="27"/>
      <c r="J7" s="2"/>
      <c r="K7" s="2"/>
      <c r="L7" s="2"/>
      <c r="M7" s="2"/>
      <c r="N7" s="2"/>
      <c r="O7" s="2"/>
      <c r="P7" s="2"/>
      <c r="Q7" s="2"/>
      <c r="R7" s="2"/>
      <c r="S7" s="2"/>
      <c r="T7" s="2"/>
      <c r="U7" s="2"/>
      <c r="V7" s="2"/>
      <c r="W7" s="2"/>
      <c r="X7" s="2"/>
      <c r="Y7" s="2"/>
      <c r="Z7" s="2"/>
    </row>
    <row r="8" ht="17.25" customHeight="1">
      <c r="A8" s="27"/>
      <c r="B8" s="28"/>
      <c r="C8" s="295"/>
      <c r="D8" s="292">
        <v>0.0</v>
      </c>
      <c r="E8" s="293">
        <v>0.0</v>
      </c>
      <c r="F8" s="172">
        <f t="shared" si="1"/>
        <v>0</v>
      </c>
      <c r="G8" s="38"/>
      <c r="H8" s="91"/>
      <c r="I8" s="27"/>
      <c r="J8" s="2"/>
      <c r="K8" s="2"/>
      <c r="L8" s="2"/>
      <c r="M8" s="2"/>
      <c r="N8" s="2"/>
      <c r="O8" s="2"/>
      <c r="P8" s="2"/>
      <c r="Q8" s="2"/>
      <c r="R8" s="2"/>
      <c r="S8" s="2"/>
      <c r="T8" s="2"/>
      <c r="U8" s="2"/>
      <c r="V8" s="2"/>
      <c r="W8" s="2"/>
      <c r="X8" s="2"/>
      <c r="Y8" s="2"/>
      <c r="Z8" s="2"/>
    </row>
    <row r="9" ht="17.25" customHeight="1">
      <c r="A9" s="27"/>
      <c r="B9" s="28"/>
      <c r="C9" s="296"/>
      <c r="D9" s="297"/>
      <c r="E9" s="298"/>
      <c r="F9" s="172">
        <f t="shared" si="1"/>
        <v>0</v>
      </c>
      <c r="G9" s="38"/>
      <c r="H9" s="91"/>
      <c r="I9" s="27"/>
      <c r="J9" s="2"/>
      <c r="K9" s="2"/>
      <c r="L9" s="2"/>
      <c r="M9" s="2"/>
      <c r="N9" s="2"/>
      <c r="O9" s="2"/>
      <c r="P9" s="2"/>
      <c r="Q9" s="2"/>
      <c r="R9" s="2"/>
      <c r="S9" s="2"/>
      <c r="T9" s="2"/>
      <c r="U9" s="2"/>
      <c r="V9" s="2"/>
      <c r="W9" s="2"/>
      <c r="X9" s="2"/>
      <c r="Y9" s="2"/>
      <c r="Z9" s="2"/>
    </row>
    <row r="10" ht="17.25" customHeight="1">
      <c r="A10" s="27"/>
      <c r="B10" s="28"/>
      <c r="C10" s="299"/>
      <c r="D10" s="297"/>
      <c r="E10" s="298"/>
      <c r="F10" s="172"/>
      <c r="G10" s="38"/>
      <c r="H10" s="91"/>
      <c r="I10" s="27"/>
      <c r="J10" s="2"/>
      <c r="K10" s="2"/>
      <c r="L10" s="2"/>
      <c r="M10" s="2"/>
      <c r="N10" s="2"/>
      <c r="O10" s="2"/>
      <c r="P10" s="2"/>
      <c r="Q10" s="2"/>
      <c r="R10" s="2"/>
      <c r="S10" s="2"/>
      <c r="T10" s="2"/>
      <c r="U10" s="2"/>
      <c r="V10" s="2"/>
      <c r="W10" s="2"/>
      <c r="X10" s="2"/>
      <c r="Y10" s="2"/>
      <c r="Z10" s="2"/>
    </row>
    <row r="11" ht="17.25" customHeight="1">
      <c r="A11" s="27"/>
      <c r="B11" s="28"/>
      <c r="C11" s="300"/>
      <c r="D11" s="297"/>
      <c r="E11" s="298"/>
      <c r="F11" s="172">
        <f>E11*D11</f>
        <v>0</v>
      </c>
      <c r="G11" s="38"/>
      <c r="H11" s="91"/>
      <c r="I11" s="27"/>
      <c r="J11" s="2"/>
      <c r="K11" s="2"/>
      <c r="L11" s="2"/>
      <c r="M11" s="2"/>
      <c r="N11" s="2"/>
      <c r="O11" s="2"/>
      <c r="P11" s="2"/>
      <c r="Q11" s="2"/>
      <c r="R11" s="2"/>
      <c r="S11" s="2"/>
      <c r="T11" s="2"/>
      <c r="U11" s="2"/>
      <c r="V11" s="2"/>
      <c r="W11" s="2"/>
      <c r="X11" s="2"/>
      <c r="Y11" s="2"/>
      <c r="Z11" s="2"/>
    </row>
    <row r="12" ht="17.25" customHeight="1">
      <c r="A12" s="27"/>
      <c r="B12" s="28"/>
      <c r="C12" s="177" t="s">
        <v>174</v>
      </c>
      <c r="D12" s="217"/>
      <c r="E12" s="301">
        <f t="shared" ref="E12:F12" si="2">SUM(E6:E11)</f>
        <v>1</v>
      </c>
      <c r="F12" s="180">
        <f t="shared" si="2"/>
        <v>1300000</v>
      </c>
      <c r="G12" s="38"/>
      <c r="H12" s="91"/>
      <c r="I12" s="27"/>
      <c r="J12" s="2"/>
      <c r="K12" s="2"/>
      <c r="L12" s="2"/>
      <c r="M12" s="2"/>
      <c r="N12" s="2"/>
      <c r="O12" s="2"/>
      <c r="P12" s="2"/>
      <c r="Q12" s="2"/>
      <c r="R12" s="2"/>
      <c r="S12" s="2"/>
      <c r="T12" s="2"/>
      <c r="U12" s="2"/>
      <c r="V12" s="2"/>
      <c r="W12" s="2"/>
      <c r="X12" s="2"/>
      <c r="Y12" s="2"/>
      <c r="Z12" s="2"/>
    </row>
    <row r="13" ht="17.25" customHeight="1">
      <c r="A13" s="27"/>
      <c r="B13" s="28"/>
      <c r="C13" s="302" t="s">
        <v>265</v>
      </c>
      <c r="D13" s="303"/>
      <c r="E13" s="304"/>
      <c r="F13" s="305">
        <f>F12*12</f>
        <v>15600000</v>
      </c>
      <c r="G13" s="38"/>
      <c r="H13" s="91"/>
      <c r="I13" s="27"/>
      <c r="J13" s="2"/>
      <c r="K13" s="2"/>
      <c r="L13" s="2"/>
      <c r="M13" s="2"/>
      <c r="N13" s="2"/>
      <c r="O13" s="2"/>
      <c r="P13" s="2"/>
      <c r="Q13" s="2"/>
      <c r="R13" s="2"/>
      <c r="S13" s="2"/>
      <c r="T13" s="2"/>
      <c r="U13" s="2"/>
      <c r="V13" s="2"/>
      <c r="W13" s="2"/>
      <c r="X13" s="2"/>
      <c r="Y13" s="2"/>
      <c r="Z13" s="2"/>
    </row>
    <row r="14" ht="17.25" customHeight="1">
      <c r="A14" s="27"/>
      <c r="B14" s="28"/>
      <c r="C14" s="306"/>
      <c r="D14" s="250"/>
      <c r="E14" s="251"/>
      <c r="F14" s="251"/>
      <c r="G14" s="38"/>
      <c r="H14" s="91"/>
      <c r="I14" s="27"/>
      <c r="J14" s="2"/>
      <c r="K14" s="2"/>
      <c r="L14" s="2"/>
      <c r="M14" s="2"/>
      <c r="N14" s="2"/>
      <c r="O14" s="2"/>
      <c r="P14" s="2"/>
      <c r="Q14" s="2"/>
      <c r="R14" s="2"/>
      <c r="S14" s="2"/>
      <c r="T14" s="2"/>
      <c r="U14" s="2"/>
      <c r="V14" s="2"/>
      <c r="W14" s="2"/>
      <c r="X14" s="2"/>
      <c r="Y14" s="2"/>
      <c r="Z14" s="2"/>
    </row>
    <row r="15" ht="17.25" customHeight="1">
      <c r="A15" s="27"/>
      <c r="B15" s="28"/>
      <c r="C15" s="302" t="s">
        <v>179</v>
      </c>
      <c r="D15" s="303"/>
      <c r="E15" s="304"/>
      <c r="F15" s="305">
        <f>F12</f>
        <v>1300000</v>
      </c>
      <c r="G15" s="38"/>
      <c r="H15" s="91"/>
      <c r="I15" s="27"/>
      <c r="J15" s="2"/>
      <c r="K15" s="2"/>
      <c r="L15" s="2"/>
      <c r="M15" s="2"/>
      <c r="N15" s="2"/>
      <c r="O15" s="2"/>
      <c r="P15" s="2"/>
      <c r="Q15" s="2"/>
      <c r="R15" s="2"/>
      <c r="S15" s="2"/>
      <c r="T15" s="2"/>
      <c r="U15" s="2"/>
      <c r="V15" s="2"/>
      <c r="W15" s="2"/>
      <c r="X15" s="2"/>
      <c r="Y15" s="2"/>
      <c r="Z15" s="2"/>
    </row>
    <row r="16" ht="17.25" customHeight="1">
      <c r="A16" s="27"/>
      <c r="B16" s="28"/>
      <c r="C16" s="306"/>
      <c r="D16" s="250"/>
      <c r="E16" s="251"/>
      <c r="F16" s="251"/>
      <c r="G16" s="38"/>
      <c r="H16" s="91"/>
      <c r="I16" s="27"/>
      <c r="J16" s="2"/>
      <c r="K16" s="2"/>
      <c r="L16" s="2"/>
      <c r="M16" s="2"/>
      <c r="N16" s="2"/>
      <c r="O16" s="2"/>
      <c r="P16" s="2"/>
      <c r="Q16" s="2"/>
      <c r="R16" s="2"/>
      <c r="S16" s="2"/>
      <c r="T16" s="2"/>
      <c r="U16" s="2"/>
      <c r="V16" s="2"/>
      <c r="W16" s="2"/>
      <c r="X16" s="2"/>
      <c r="Y16" s="2"/>
      <c r="Z16" s="2"/>
    </row>
    <row r="17" ht="17.25" customHeight="1">
      <c r="A17" s="27"/>
      <c r="B17" s="28"/>
      <c r="C17" s="302" t="s">
        <v>180</v>
      </c>
      <c r="D17" s="303"/>
      <c r="E17" s="304"/>
      <c r="F17" s="305">
        <f>Consideraciones!D18*(F15+F13)</f>
        <v>10140000</v>
      </c>
      <c r="G17" s="38"/>
      <c r="H17" s="91"/>
      <c r="I17" s="27"/>
      <c r="J17" s="2"/>
      <c r="K17" s="2"/>
      <c r="L17" s="2"/>
      <c r="M17" s="2"/>
      <c r="N17" s="2"/>
      <c r="O17" s="2"/>
      <c r="P17" s="2"/>
      <c r="Q17" s="2"/>
      <c r="R17" s="2"/>
      <c r="S17" s="2"/>
      <c r="T17" s="2"/>
      <c r="U17" s="2"/>
      <c r="V17" s="2"/>
      <c r="W17" s="2"/>
      <c r="X17" s="2"/>
      <c r="Y17" s="2"/>
      <c r="Z17" s="2"/>
    </row>
    <row r="18" ht="17.25" customHeight="1">
      <c r="A18" s="27"/>
      <c r="B18" s="28"/>
      <c r="C18" s="307"/>
      <c r="D18" s="262"/>
      <c r="E18" s="263"/>
      <c r="F18" s="263"/>
      <c r="G18" s="38"/>
      <c r="H18" s="91"/>
      <c r="I18" s="27"/>
      <c r="J18" s="2"/>
      <c r="K18" s="2"/>
      <c r="L18" s="2"/>
      <c r="M18" s="2"/>
      <c r="N18" s="2"/>
      <c r="O18" s="2"/>
      <c r="P18" s="2"/>
      <c r="Q18" s="2"/>
      <c r="R18" s="2"/>
      <c r="S18" s="2"/>
      <c r="T18" s="2"/>
      <c r="U18" s="2"/>
      <c r="V18" s="2"/>
      <c r="W18" s="2"/>
      <c r="X18" s="2"/>
      <c r="Y18" s="2"/>
      <c r="Z18" s="2"/>
    </row>
    <row r="19" ht="17.25" customHeight="1">
      <c r="A19" s="27"/>
      <c r="B19" s="28"/>
      <c r="C19" s="167" t="s">
        <v>181</v>
      </c>
      <c r="D19" s="308"/>
      <c r="E19" s="309"/>
      <c r="F19" s="309"/>
      <c r="G19" s="38"/>
      <c r="H19" s="91"/>
      <c r="I19" s="27"/>
      <c r="J19" s="2"/>
      <c r="K19" s="2"/>
      <c r="L19" s="2"/>
      <c r="M19" s="2"/>
      <c r="N19" s="2"/>
      <c r="O19" s="2"/>
      <c r="P19" s="2"/>
      <c r="Q19" s="2"/>
      <c r="R19" s="2"/>
      <c r="S19" s="2"/>
      <c r="T19" s="2"/>
      <c r="U19" s="2"/>
      <c r="V19" s="2"/>
      <c r="W19" s="2"/>
      <c r="X19" s="2"/>
      <c r="Y19" s="2"/>
      <c r="Z19" s="2"/>
    </row>
    <row r="20" ht="17.25" customHeight="1">
      <c r="A20" s="27"/>
      <c r="B20" s="28"/>
      <c r="C20" s="310" t="s">
        <v>244</v>
      </c>
      <c r="D20" s="267"/>
      <c r="E20" s="311"/>
      <c r="F20" s="211">
        <v>0.0</v>
      </c>
      <c r="G20" s="38"/>
      <c r="H20" s="91"/>
      <c r="I20" s="27"/>
      <c r="J20" s="2"/>
      <c r="K20" s="2"/>
      <c r="L20" s="2"/>
      <c r="M20" s="2"/>
      <c r="N20" s="2"/>
      <c r="O20" s="2"/>
      <c r="P20" s="2"/>
      <c r="Q20" s="2"/>
      <c r="R20" s="2"/>
      <c r="S20" s="2"/>
      <c r="T20" s="2"/>
      <c r="U20" s="2"/>
      <c r="V20" s="2"/>
      <c r="W20" s="2"/>
      <c r="X20" s="2"/>
      <c r="Y20" s="2"/>
      <c r="Z20" s="2"/>
    </row>
    <row r="21" ht="17.25" customHeight="1">
      <c r="A21" s="27"/>
      <c r="B21" s="28"/>
      <c r="C21" s="310" t="s">
        <v>245</v>
      </c>
      <c r="D21" s="267"/>
      <c r="E21" s="311"/>
      <c r="F21" s="312">
        <f>+Consideraciones!D9</f>
        <v>21</v>
      </c>
      <c r="G21" s="38"/>
      <c r="H21" s="91"/>
      <c r="I21" s="27"/>
      <c r="J21" s="2"/>
      <c r="K21" s="2"/>
      <c r="L21" s="2"/>
      <c r="M21" s="2"/>
      <c r="N21" s="2"/>
      <c r="O21" s="2"/>
      <c r="P21" s="2"/>
      <c r="Q21" s="2"/>
      <c r="R21" s="2"/>
      <c r="S21" s="2"/>
      <c r="T21" s="2"/>
      <c r="U21" s="2"/>
      <c r="V21" s="2"/>
      <c r="W21" s="2"/>
      <c r="X21" s="2"/>
      <c r="Y21" s="2"/>
      <c r="Z21" s="2"/>
    </row>
    <row r="22" ht="17.25" customHeight="1">
      <c r="A22" s="27"/>
      <c r="B22" s="28"/>
      <c r="C22" s="310" t="s">
        <v>42</v>
      </c>
      <c r="D22" s="267"/>
      <c r="E22" s="311"/>
      <c r="F22" s="312">
        <f>+Consideraciones!D10</f>
        <v>12</v>
      </c>
      <c r="G22" s="38"/>
      <c r="H22" s="91"/>
      <c r="I22" s="27"/>
      <c r="J22" s="2"/>
      <c r="K22" s="2"/>
      <c r="L22" s="2"/>
      <c r="M22" s="2"/>
      <c r="N22" s="2"/>
      <c r="O22" s="2"/>
      <c r="P22" s="2"/>
      <c r="Q22" s="2"/>
      <c r="R22" s="2"/>
      <c r="S22" s="2"/>
      <c r="T22" s="2"/>
      <c r="U22" s="2"/>
      <c r="V22" s="2"/>
      <c r="W22" s="2"/>
      <c r="X22" s="2"/>
      <c r="Y22" s="2"/>
      <c r="Z22" s="2"/>
    </row>
    <row r="23" ht="17.25" customHeight="1">
      <c r="A23" s="27"/>
      <c r="B23" s="28"/>
      <c r="C23" s="177" t="s">
        <v>247</v>
      </c>
      <c r="D23" s="217"/>
      <c r="E23" s="301"/>
      <c r="F23" s="180">
        <f>+F22*F21*F20*E12</f>
        <v>0</v>
      </c>
      <c r="G23" s="38"/>
      <c r="H23" s="91"/>
      <c r="I23" s="27"/>
      <c r="J23" s="2"/>
      <c r="K23" s="2"/>
      <c r="L23" s="2"/>
      <c r="M23" s="2"/>
      <c r="N23" s="2"/>
      <c r="O23" s="2"/>
      <c r="P23" s="2"/>
      <c r="Q23" s="2"/>
      <c r="R23" s="2"/>
      <c r="S23" s="2"/>
      <c r="T23" s="2"/>
      <c r="U23" s="2"/>
      <c r="V23" s="2"/>
      <c r="W23" s="2"/>
      <c r="X23" s="2"/>
      <c r="Y23" s="2"/>
      <c r="Z23" s="2"/>
    </row>
    <row r="24" ht="17.25" customHeight="1">
      <c r="A24" s="27"/>
      <c r="B24" s="28"/>
      <c r="C24" s="313"/>
      <c r="D24" s="314"/>
      <c r="E24" s="315"/>
      <c r="F24" s="315"/>
      <c r="G24" s="38"/>
      <c r="H24" s="91"/>
      <c r="I24" s="27"/>
      <c r="J24" s="2"/>
      <c r="K24" s="2"/>
      <c r="L24" s="2"/>
      <c r="M24" s="2"/>
      <c r="N24" s="2"/>
      <c r="O24" s="2"/>
      <c r="P24" s="2"/>
      <c r="Q24" s="2"/>
      <c r="R24" s="2"/>
      <c r="S24" s="2"/>
      <c r="T24" s="2"/>
      <c r="U24" s="2"/>
      <c r="V24" s="2"/>
      <c r="W24" s="2"/>
      <c r="X24" s="2"/>
      <c r="Y24" s="2"/>
      <c r="Z24" s="2"/>
    </row>
    <row r="25" ht="17.25" customHeight="1">
      <c r="A25" s="27"/>
      <c r="B25" s="28"/>
      <c r="C25" s="302" t="s">
        <v>266</v>
      </c>
      <c r="D25" s="303"/>
      <c r="E25" s="304"/>
      <c r="F25" s="305">
        <f>F23+F17+F15+F13</f>
        <v>27040000</v>
      </c>
      <c r="G25" s="38"/>
      <c r="H25" s="91"/>
      <c r="I25" s="27"/>
      <c r="J25" s="2"/>
      <c r="K25" s="2"/>
      <c r="L25" s="2"/>
      <c r="M25" s="2"/>
      <c r="N25" s="2"/>
      <c r="O25" s="2"/>
      <c r="P25" s="2"/>
      <c r="Q25" s="2"/>
      <c r="R25" s="2"/>
      <c r="S25" s="2"/>
      <c r="T25" s="2"/>
      <c r="U25" s="2"/>
      <c r="V25" s="2"/>
      <c r="W25" s="2"/>
      <c r="X25" s="2"/>
      <c r="Y25" s="2"/>
      <c r="Z25" s="2"/>
    </row>
    <row r="26" ht="17.25" customHeight="1">
      <c r="A26" s="27"/>
      <c r="B26" s="28"/>
      <c r="C26" s="307"/>
      <c r="D26" s="262"/>
      <c r="E26" s="263"/>
      <c r="F26" s="263"/>
      <c r="G26" s="38"/>
      <c r="H26" s="91"/>
      <c r="I26" s="27"/>
      <c r="J26" s="2"/>
      <c r="K26" s="2"/>
      <c r="L26" s="2"/>
      <c r="M26" s="2"/>
      <c r="N26" s="2"/>
      <c r="O26" s="2"/>
      <c r="P26" s="2"/>
      <c r="Q26" s="2"/>
      <c r="R26" s="2"/>
      <c r="S26" s="2"/>
      <c r="T26" s="2"/>
      <c r="U26" s="2"/>
      <c r="V26" s="2"/>
      <c r="W26" s="2"/>
      <c r="X26" s="2"/>
      <c r="Y26" s="2"/>
      <c r="Z26" s="2"/>
    </row>
    <row r="27" ht="17.25" customHeight="1">
      <c r="A27" s="27"/>
      <c r="B27" s="28"/>
      <c r="C27" s="190" t="s">
        <v>267</v>
      </c>
      <c r="D27" s="191"/>
      <c r="E27" s="192"/>
      <c r="F27" s="316">
        <v>445000.0</v>
      </c>
      <c r="G27" s="38"/>
      <c r="H27" s="91"/>
      <c r="I27" s="27"/>
      <c r="J27" s="2"/>
      <c r="K27" s="2"/>
      <c r="L27" s="2"/>
      <c r="M27" s="2"/>
      <c r="N27" s="2"/>
      <c r="O27" s="2"/>
      <c r="P27" s="2"/>
      <c r="Q27" s="2"/>
      <c r="R27" s="2"/>
      <c r="S27" s="2"/>
      <c r="T27" s="2"/>
      <c r="U27" s="2"/>
      <c r="V27" s="2"/>
      <c r="W27" s="2"/>
      <c r="X27" s="2"/>
      <c r="Y27" s="2"/>
      <c r="Z27" s="2"/>
    </row>
    <row r="28" ht="17.25" customHeight="1">
      <c r="A28" s="27"/>
      <c r="B28" s="28"/>
      <c r="C28" s="38"/>
      <c r="D28" s="38"/>
      <c r="E28" s="38"/>
      <c r="F28" s="317"/>
      <c r="G28" s="38"/>
      <c r="H28" s="91"/>
      <c r="I28" s="27"/>
      <c r="J28" s="2"/>
      <c r="K28" s="2"/>
      <c r="L28" s="2"/>
      <c r="M28" s="2"/>
      <c r="N28" s="2"/>
      <c r="O28" s="2"/>
      <c r="P28" s="2"/>
      <c r="Q28" s="2"/>
      <c r="R28" s="2"/>
      <c r="S28" s="2"/>
      <c r="T28" s="2"/>
      <c r="U28" s="2"/>
      <c r="V28" s="2"/>
      <c r="W28" s="2"/>
      <c r="X28" s="2"/>
      <c r="Y28" s="2"/>
      <c r="Z28" s="2"/>
    </row>
    <row r="29" ht="17.25" customHeight="1">
      <c r="A29" s="27"/>
      <c r="B29" s="28"/>
      <c r="C29" s="177" t="s">
        <v>263</v>
      </c>
      <c r="D29" s="217"/>
      <c r="E29" s="301"/>
      <c r="F29" s="180">
        <f>+F27+F25</f>
        <v>27485000</v>
      </c>
      <c r="G29" s="38"/>
      <c r="H29" s="91"/>
      <c r="I29" s="27"/>
      <c r="J29" s="2"/>
      <c r="K29" s="2"/>
      <c r="L29" s="2"/>
      <c r="M29" s="2"/>
      <c r="N29" s="2"/>
      <c r="O29" s="2"/>
      <c r="P29" s="2"/>
      <c r="Q29" s="2"/>
      <c r="R29" s="2"/>
      <c r="S29" s="2"/>
      <c r="T29" s="2"/>
      <c r="U29" s="2"/>
      <c r="V29" s="2"/>
      <c r="W29" s="2"/>
      <c r="X29" s="2"/>
      <c r="Y29" s="2"/>
      <c r="Z29" s="2"/>
    </row>
    <row r="30" ht="17.25" customHeight="1">
      <c r="A30" s="27"/>
      <c r="B30" s="28"/>
      <c r="C30" s="199"/>
      <c r="D30" s="318"/>
      <c r="E30" s="38"/>
      <c r="F30" s="38"/>
      <c r="G30" s="38"/>
      <c r="H30" s="91"/>
      <c r="I30" s="27"/>
      <c r="J30" s="2"/>
      <c r="K30" s="2"/>
      <c r="L30" s="2"/>
      <c r="M30" s="2"/>
      <c r="N30" s="2"/>
      <c r="O30" s="2"/>
      <c r="P30" s="2"/>
      <c r="Q30" s="2"/>
      <c r="R30" s="2"/>
      <c r="S30" s="2"/>
      <c r="T30" s="2"/>
      <c r="U30" s="2"/>
      <c r="V30" s="2"/>
      <c r="W30" s="2"/>
      <c r="X30" s="2"/>
      <c r="Y30" s="2"/>
      <c r="Z30" s="2"/>
    </row>
    <row r="31" ht="18.0" customHeight="1">
      <c r="A31" s="27"/>
      <c r="B31" s="27"/>
      <c r="C31" s="91"/>
      <c r="D31" s="91"/>
      <c r="E31" s="91"/>
      <c r="F31" s="91"/>
      <c r="G31" s="91"/>
      <c r="H31" s="91"/>
      <c r="I31" s="27"/>
      <c r="J31" s="2"/>
      <c r="K31" s="2"/>
      <c r="L31" s="2"/>
      <c r="M31" s="2"/>
      <c r="N31" s="2"/>
      <c r="O31" s="2"/>
      <c r="P31" s="2"/>
      <c r="Q31" s="2"/>
      <c r="R31" s="2"/>
      <c r="S31" s="2"/>
      <c r="T31" s="2"/>
      <c r="U31" s="2"/>
      <c r="V31" s="2"/>
      <c r="W31" s="2"/>
      <c r="X31" s="2"/>
      <c r="Y31" s="2"/>
      <c r="Z31" s="2"/>
    </row>
    <row r="32" ht="15.75" customHeight="1">
      <c r="A32" s="27"/>
      <c r="B32" s="27"/>
      <c r="C32" s="27"/>
      <c r="D32" s="27"/>
      <c r="E32" s="27"/>
      <c r="F32" s="27"/>
      <c r="G32" s="27"/>
      <c r="H32" s="27"/>
      <c r="I32" s="27"/>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00"/>
    <outlinePr summaryBelow="0" summaryRight="0"/>
    <pageSetUpPr/>
  </sheetPr>
  <sheetViews>
    <sheetView showGridLines="0" workbookViewId="0"/>
  </sheetViews>
  <sheetFormatPr customHeight="1" defaultColWidth="14.43" defaultRowHeight="15.0"/>
  <cols>
    <col customWidth="1" min="1" max="1" width="17.29"/>
    <col customWidth="1" min="2" max="2" width="2.71"/>
    <col customWidth="1" min="3" max="3" width="5.0"/>
    <col customWidth="1" min="4" max="4" width="22.29"/>
    <col customWidth="1" min="5" max="5" width="16.14"/>
    <col customWidth="1" min="6" max="10" width="15.29"/>
    <col customWidth="1" min="11" max="11" width="6.29"/>
    <col customWidth="1" min="12" max="14" width="12.14"/>
    <col customWidth="1" min="15" max="26" width="17.29"/>
  </cols>
  <sheetData>
    <row r="1" ht="15.75" customHeight="1">
      <c r="A1" s="27"/>
      <c r="B1" s="27"/>
      <c r="C1" s="27"/>
      <c r="D1" s="27"/>
      <c r="E1" s="27"/>
      <c r="F1" s="27"/>
      <c r="G1" s="27"/>
      <c r="H1" s="27"/>
      <c r="I1" s="27"/>
      <c r="J1" s="27"/>
      <c r="K1" s="27"/>
      <c r="L1" s="27"/>
      <c r="M1" s="2"/>
      <c r="N1" s="2"/>
      <c r="O1" s="2"/>
      <c r="P1" s="2"/>
      <c r="Q1" s="2"/>
      <c r="R1" s="2"/>
      <c r="S1" s="2"/>
      <c r="T1" s="2"/>
      <c r="U1" s="2"/>
      <c r="V1" s="2"/>
      <c r="W1" s="2"/>
      <c r="X1" s="2"/>
      <c r="Y1" s="2"/>
      <c r="Z1" s="2"/>
    </row>
    <row r="2" ht="15.75" customHeight="1">
      <c r="A2" s="27"/>
      <c r="B2" s="85"/>
      <c r="C2" s="86"/>
      <c r="D2" s="28"/>
      <c r="E2" s="28"/>
      <c r="F2" s="28"/>
      <c r="G2" s="28"/>
      <c r="H2" s="28"/>
      <c r="I2" s="28"/>
      <c r="J2" s="28"/>
      <c r="K2" s="28"/>
      <c r="L2" s="27"/>
      <c r="M2" s="2"/>
      <c r="N2" s="2"/>
      <c r="O2" s="2"/>
      <c r="P2" s="2"/>
      <c r="Q2" s="2"/>
      <c r="R2" s="2"/>
      <c r="S2" s="2"/>
      <c r="T2" s="2"/>
      <c r="U2" s="2"/>
      <c r="V2" s="2"/>
      <c r="W2" s="2"/>
      <c r="X2" s="2"/>
      <c r="Y2" s="2"/>
      <c r="Z2" s="2"/>
    </row>
    <row r="3" ht="15.75" customHeight="1">
      <c r="A3" s="27"/>
      <c r="B3" s="85"/>
      <c r="C3" s="153" t="s">
        <v>268</v>
      </c>
      <c r="D3" s="28"/>
      <c r="E3" s="28"/>
      <c r="F3" s="28"/>
      <c r="G3" s="28"/>
      <c r="H3" s="28"/>
      <c r="I3" s="28"/>
      <c r="J3" s="28"/>
      <c r="K3" s="28"/>
      <c r="L3" s="27"/>
      <c r="M3" s="2"/>
      <c r="N3" s="2"/>
      <c r="O3" s="2"/>
      <c r="P3" s="2"/>
      <c r="Q3" s="2"/>
      <c r="R3" s="2"/>
      <c r="S3" s="2"/>
      <c r="T3" s="2"/>
      <c r="U3" s="2"/>
      <c r="V3" s="2"/>
      <c r="W3" s="2"/>
      <c r="X3" s="2"/>
      <c r="Y3" s="2"/>
      <c r="Z3" s="2"/>
    </row>
    <row r="4" ht="15.75" customHeight="1">
      <c r="A4" s="27"/>
      <c r="B4" s="85"/>
      <c r="C4" s="89"/>
      <c r="D4" s="28"/>
      <c r="E4" s="28"/>
      <c r="F4" s="28"/>
      <c r="G4" s="28"/>
      <c r="H4" s="28"/>
      <c r="I4" s="28"/>
      <c r="J4" s="28"/>
      <c r="K4" s="28"/>
      <c r="L4" s="27"/>
      <c r="M4" s="2"/>
      <c r="N4" s="2"/>
      <c r="O4" s="2"/>
      <c r="P4" s="2"/>
      <c r="Q4" s="2"/>
      <c r="R4" s="2"/>
      <c r="S4" s="2"/>
      <c r="T4" s="2"/>
      <c r="U4" s="2"/>
      <c r="V4" s="2"/>
      <c r="W4" s="2"/>
      <c r="X4" s="2"/>
      <c r="Y4" s="2"/>
      <c r="Z4" s="2"/>
    </row>
    <row r="5" ht="15.75" customHeight="1">
      <c r="A5" s="27"/>
      <c r="B5" s="85"/>
      <c r="C5" s="319" t="s">
        <v>269</v>
      </c>
      <c r="D5" s="28"/>
      <c r="E5" s="28"/>
      <c r="F5" s="28"/>
      <c r="G5" s="28"/>
      <c r="H5" s="28"/>
      <c r="I5" s="28"/>
      <c r="J5" s="28"/>
      <c r="K5" s="28"/>
      <c r="L5" s="27"/>
      <c r="M5" s="2"/>
      <c r="N5" s="2"/>
      <c r="O5" s="2"/>
      <c r="P5" s="2"/>
      <c r="Q5" s="2"/>
      <c r="R5" s="2"/>
      <c r="S5" s="2"/>
      <c r="T5" s="2"/>
      <c r="U5" s="2"/>
      <c r="V5" s="2"/>
      <c r="W5" s="2"/>
      <c r="X5" s="2"/>
      <c r="Y5" s="2"/>
      <c r="Z5" s="2"/>
    </row>
    <row r="6" ht="15.75" customHeight="1">
      <c r="A6" s="27"/>
      <c r="B6" s="28"/>
      <c r="C6" s="28"/>
      <c r="D6" s="28"/>
      <c r="E6" s="28"/>
      <c r="F6" s="28"/>
      <c r="G6" s="28"/>
      <c r="H6" s="28"/>
      <c r="I6" s="28"/>
      <c r="J6" s="28"/>
      <c r="K6" s="28"/>
      <c r="L6" s="27"/>
      <c r="M6" s="2"/>
      <c r="N6" s="2"/>
      <c r="O6" s="2"/>
      <c r="P6" s="2"/>
      <c r="Q6" s="2"/>
      <c r="R6" s="2"/>
      <c r="S6" s="2"/>
      <c r="T6" s="2"/>
      <c r="U6" s="2"/>
      <c r="V6" s="2"/>
      <c r="W6" s="2"/>
      <c r="X6" s="2"/>
      <c r="Y6" s="2"/>
      <c r="Z6" s="2"/>
    </row>
    <row r="7" ht="17.25" customHeight="1">
      <c r="A7" s="42"/>
      <c r="B7" s="119"/>
      <c r="C7" s="43"/>
      <c r="D7" s="43"/>
      <c r="E7" s="46" t="s">
        <v>270</v>
      </c>
      <c r="F7" s="46" t="s">
        <v>235</v>
      </c>
      <c r="G7" s="46" t="s">
        <v>243</v>
      </c>
      <c r="H7" s="46" t="s">
        <v>246</v>
      </c>
      <c r="I7" s="46" t="s">
        <v>249</v>
      </c>
      <c r="J7" s="46" t="s">
        <v>254</v>
      </c>
      <c r="K7" s="79"/>
      <c r="L7" s="42"/>
      <c r="M7" s="2"/>
      <c r="N7" s="2"/>
      <c r="O7" s="2"/>
      <c r="P7" s="2"/>
      <c r="Q7" s="2"/>
      <c r="R7" s="2"/>
      <c r="S7" s="2"/>
      <c r="T7" s="2"/>
      <c r="U7" s="2"/>
      <c r="V7" s="2"/>
      <c r="W7" s="2"/>
      <c r="X7" s="2"/>
      <c r="Y7" s="2"/>
      <c r="Z7" s="2"/>
    </row>
    <row r="8" ht="17.25" customHeight="1">
      <c r="A8" s="27"/>
      <c r="B8" s="38"/>
      <c r="C8" s="28"/>
      <c r="D8" s="30" t="s">
        <v>271</v>
      </c>
      <c r="E8" s="320" t="str">
        <f>+'Amortización Edificio'!D5</f>
        <v/>
      </c>
      <c r="F8" s="320">
        <f>+'Amortización Edificio'!G10</f>
        <v>0</v>
      </c>
      <c r="G8" s="320">
        <f>+'Amortización Edificio'!G11</f>
        <v>0</v>
      </c>
      <c r="H8" s="320">
        <f>+'Amortización Edificio'!G12</f>
        <v>0</v>
      </c>
      <c r="I8" s="320">
        <f>+'Amortización Edificio'!G13</f>
        <v>0</v>
      </c>
      <c r="J8" s="320">
        <f>+'Amortización Edificio'!G14</f>
        <v>0</v>
      </c>
      <c r="K8" s="321"/>
      <c r="L8" s="27"/>
      <c r="M8" s="2"/>
      <c r="N8" s="2"/>
      <c r="O8" s="2"/>
      <c r="P8" s="2"/>
      <c r="Q8" s="2"/>
      <c r="R8" s="2"/>
      <c r="S8" s="2"/>
      <c r="T8" s="2"/>
      <c r="U8" s="2"/>
      <c r="V8" s="2"/>
      <c r="W8" s="2"/>
      <c r="X8" s="2"/>
      <c r="Y8" s="2"/>
      <c r="Z8" s="2"/>
    </row>
    <row r="9" ht="17.25" customHeight="1">
      <c r="A9" s="27"/>
      <c r="B9" s="38"/>
      <c r="C9" s="28"/>
      <c r="D9" s="30" t="s">
        <v>272</v>
      </c>
      <c r="E9" s="320">
        <f>+'Amortización Muebles y Utiles'!D5</f>
        <v>5780000</v>
      </c>
      <c r="F9" s="320">
        <f>+'Amortización Muebles y Utiles'!G10</f>
        <v>4157333.333</v>
      </c>
      <c r="G9" s="320">
        <f>+'Amortización Muebles y Utiles'!G11</f>
        <v>2859200</v>
      </c>
      <c r="H9" s="320">
        <f>+'Amortización Muebles y Utiles'!G12</f>
        <v>1885600</v>
      </c>
      <c r="I9" s="320">
        <f>+'Amortización Muebles y Utiles'!G13</f>
        <v>1236533.333</v>
      </c>
      <c r="J9" s="320">
        <f>+'Amortización Muebles y Utiles'!G14</f>
        <v>912000</v>
      </c>
      <c r="K9" s="321"/>
      <c r="L9" s="27"/>
      <c r="M9" s="2"/>
      <c r="N9" s="2"/>
      <c r="O9" s="2"/>
      <c r="P9" s="2"/>
      <c r="Q9" s="2"/>
      <c r="R9" s="2"/>
      <c r="S9" s="2"/>
      <c r="T9" s="2"/>
      <c r="U9" s="2"/>
      <c r="V9" s="2"/>
      <c r="W9" s="2"/>
      <c r="X9" s="2"/>
      <c r="Y9" s="2"/>
      <c r="Z9" s="2"/>
    </row>
    <row r="10" ht="17.25" customHeight="1">
      <c r="A10" s="27"/>
      <c r="B10" s="38"/>
      <c r="C10" s="28"/>
      <c r="D10" s="30" t="s">
        <v>273</v>
      </c>
      <c r="E10" s="320">
        <f>+'Amortización Rodados'!D5</f>
        <v>0</v>
      </c>
      <c r="F10" s="320">
        <f>+'Amortización Rodados'!G10</f>
        <v>0</v>
      </c>
      <c r="G10" s="320">
        <f>+'Amortización Rodados'!G11</f>
        <v>0</v>
      </c>
      <c r="H10" s="320">
        <f>+'Amortización Rodados'!G12</f>
        <v>0</v>
      </c>
      <c r="I10" s="320">
        <f>+'Amortización Rodados'!G13</f>
        <v>0</v>
      </c>
      <c r="J10" s="320">
        <f>+'Amortización Rodados'!G14</f>
        <v>0</v>
      </c>
      <c r="K10" s="321"/>
      <c r="L10" s="27"/>
      <c r="M10" s="2"/>
      <c r="N10" s="2"/>
      <c r="O10" s="2"/>
      <c r="P10" s="2"/>
      <c r="Q10" s="2"/>
      <c r="R10" s="2"/>
      <c r="S10" s="2"/>
      <c r="T10" s="2"/>
      <c r="U10" s="2"/>
      <c r="V10" s="2"/>
      <c r="W10" s="2"/>
      <c r="X10" s="2"/>
      <c r="Y10" s="2"/>
      <c r="Z10" s="2"/>
    </row>
    <row r="11" ht="17.25" customHeight="1">
      <c r="A11" s="27"/>
      <c r="B11" s="38"/>
      <c r="C11" s="28"/>
      <c r="D11" s="30" t="s">
        <v>274</v>
      </c>
      <c r="E11" s="320">
        <f>+'Amortización Informática'!D5</f>
        <v>25980000</v>
      </c>
      <c r="F11" s="320">
        <f>+'Amortización Informática'!G10</f>
        <v>18986666.67</v>
      </c>
      <c r="G11" s="320">
        <f>+'Amortización Informática'!G11</f>
        <v>13392000</v>
      </c>
      <c r="H11" s="320">
        <f>+'Amortización Informática'!G12</f>
        <v>9196000</v>
      </c>
      <c r="I11" s="320">
        <f>+'Amortización Informática'!G13</f>
        <v>6398666.667</v>
      </c>
      <c r="J11" s="320">
        <f>+'Amortización Informática'!G14</f>
        <v>5000000</v>
      </c>
      <c r="K11" s="321"/>
      <c r="L11" s="27"/>
      <c r="M11" s="2"/>
      <c r="N11" s="2"/>
      <c r="O11" s="2"/>
      <c r="P11" s="2"/>
      <c r="Q11" s="2"/>
      <c r="R11" s="2"/>
      <c r="S11" s="2"/>
      <c r="T11" s="2"/>
      <c r="U11" s="2"/>
      <c r="V11" s="2"/>
      <c r="W11" s="2"/>
      <c r="X11" s="2"/>
      <c r="Y11" s="2"/>
      <c r="Z11" s="2"/>
    </row>
    <row r="12" ht="17.25" customHeight="1">
      <c r="A12" s="27"/>
      <c r="B12" s="38"/>
      <c r="C12" s="28"/>
      <c r="D12" s="322" t="s">
        <v>275</v>
      </c>
      <c r="E12" s="320">
        <f>'Amortización Desarrollos'!M16</f>
        <v>10130000</v>
      </c>
      <c r="F12" s="323">
        <f>'Amortización Desarrollos'!G10</f>
        <v>5065000.001</v>
      </c>
      <c r="G12" s="323">
        <f>'Amortización Desarrollos'!G11</f>
        <v>1688333.334</v>
      </c>
      <c r="H12" s="323">
        <f>'Amortización Desarrollos'!G12</f>
        <v>0.001010001171</v>
      </c>
      <c r="I12" s="324">
        <v>0.0</v>
      </c>
      <c r="J12" s="324">
        <v>0.0</v>
      </c>
      <c r="K12" s="321"/>
      <c r="L12" s="27"/>
      <c r="M12" s="2"/>
      <c r="N12" s="2"/>
      <c r="O12" s="2"/>
      <c r="P12" s="2"/>
      <c r="Q12" s="2"/>
      <c r="R12" s="2"/>
      <c r="S12" s="2"/>
      <c r="T12" s="2"/>
      <c r="U12" s="2"/>
      <c r="V12" s="2"/>
      <c r="W12" s="2"/>
      <c r="X12" s="2"/>
      <c r="Y12" s="2"/>
      <c r="Z12" s="2"/>
    </row>
    <row r="13" ht="17.25" customHeight="1">
      <c r="A13" s="27"/>
      <c r="B13" s="28"/>
      <c r="C13" s="28"/>
      <c r="D13" s="30" t="s">
        <v>276</v>
      </c>
      <c r="E13" s="325">
        <f>+'Amortización Máquinas, Herram i'!D5</f>
        <v>5760000</v>
      </c>
      <c r="F13" s="325">
        <f>+'Amortización Máquinas, Herram i'!G10</f>
        <v>5530400</v>
      </c>
      <c r="G13" s="325">
        <f>+'Amortización Máquinas, Herram i'!G11</f>
        <v>5071200</v>
      </c>
      <c r="H13" s="325">
        <f>+'Amortización Máquinas, Herram i'!G12</f>
        <v>4382400</v>
      </c>
      <c r="I13" s="325">
        <f>+'Amortización Máquinas, Herram i'!G13</f>
        <v>3464000</v>
      </c>
      <c r="J13" s="325">
        <f>+'Amortización Máquinas, Herram i'!G14</f>
        <v>2316000</v>
      </c>
      <c r="K13" s="326"/>
      <c r="L13" s="27"/>
      <c r="M13" s="2"/>
      <c r="N13" s="2"/>
      <c r="O13" s="2"/>
      <c r="P13" s="2"/>
      <c r="Q13" s="2"/>
      <c r="R13" s="2"/>
      <c r="S13" s="2"/>
      <c r="T13" s="2"/>
      <c r="U13" s="2"/>
      <c r="V13" s="2"/>
      <c r="W13" s="2"/>
      <c r="X13" s="2"/>
      <c r="Y13" s="2"/>
      <c r="Z13" s="2"/>
    </row>
    <row r="14" ht="17.25" customHeight="1">
      <c r="A14" s="27"/>
      <c r="B14" s="28"/>
      <c r="C14" s="28"/>
      <c r="D14" s="327" t="s">
        <v>277</v>
      </c>
      <c r="E14" s="328">
        <f t="shared" ref="E14:J14" si="1">SUM(E8:E13)</f>
        <v>47650000</v>
      </c>
      <c r="F14" s="180">
        <f t="shared" si="1"/>
        <v>33739400</v>
      </c>
      <c r="G14" s="180">
        <f t="shared" si="1"/>
        <v>23010733.33</v>
      </c>
      <c r="H14" s="327">
        <f t="shared" si="1"/>
        <v>15464000</v>
      </c>
      <c r="I14" s="328">
        <f t="shared" si="1"/>
        <v>11099200</v>
      </c>
      <c r="J14" s="180">
        <f t="shared" si="1"/>
        <v>8228000</v>
      </c>
      <c r="K14" s="28"/>
      <c r="L14" s="27"/>
      <c r="M14" s="2"/>
      <c r="N14" s="2"/>
      <c r="O14" s="2"/>
      <c r="P14" s="2"/>
      <c r="Q14" s="2"/>
      <c r="R14" s="2"/>
      <c r="S14" s="2"/>
      <c r="T14" s="2"/>
      <c r="U14" s="2"/>
      <c r="V14" s="2"/>
      <c r="W14" s="2"/>
      <c r="X14" s="2"/>
      <c r="Y14" s="2"/>
      <c r="Z14" s="2"/>
    </row>
    <row r="15" ht="18.0" customHeight="1">
      <c r="A15" s="27"/>
      <c r="B15" s="28"/>
      <c r="C15" s="28"/>
      <c r="D15" s="329" t="s">
        <v>278</v>
      </c>
      <c r="E15" s="330">
        <f>+E14*Consideraciones!D16</f>
        <v>10006500</v>
      </c>
      <c r="F15" s="28"/>
      <c r="G15" s="28"/>
      <c r="H15" s="28"/>
      <c r="I15" s="28"/>
      <c r="J15" s="28"/>
      <c r="K15" s="28"/>
      <c r="L15" s="27"/>
      <c r="M15" s="2"/>
      <c r="N15" s="2"/>
      <c r="O15" s="2"/>
      <c r="P15" s="2"/>
      <c r="Q15" s="2"/>
      <c r="R15" s="2"/>
      <c r="S15" s="2"/>
      <c r="T15" s="2"/>
      <c r="U15" s="2"/>
      <c r="V15" s="2"/>
      <c r="W15" s="2"/>
      <c r="X15" s="2"/>
      <c r="Y15" s="2"/>
      <c r="Z15" s="2"/>
    </row>
    <row r="16" ht="18.0" customHeight="1">
      <c r="A16" s="27"/>
      <c r="B16" s="28"/>
      <c r="C16" s="319" t="s">
        <v>279</v>
      </c>
      <c r="D16" s="28"/>
      <c r="E16" s="28"/>
      <c r="F16" s="28"/>
      <c r="G16" s="28"/>
      <c r="H16" s="28"/>
      <c r="I16" s="28"/>
      <c r="J16" s="28"/>
      <c r="K16" s="28"/>
      <c r="L16" s="27"/>
      <c r="M16" s="2"/>
      <c r="N16" s="2"/>
      <c r="O16" s="2"/>
      <c r="P16" s="2"/>
      <c r="Q16" s="2"/>
      <c r="R16" s="2"/>
      <c r="S16" s="2"/>
      <c r="T16" s="2"/>
      <c r="U16" s="2"/>
      <c r="V16" s="2"/>
      <c r="W16" s="2"/>
      <c r="X16" s="2"/>
      <c r="Y16" s="2"/>
      <c r="Z16" s="2"/>
    </row>
    <row r="17" ht="18.0" customHeight="1">
      <c r="A17" s="27"/>
      <c r="B17" s="28"/>
      <c r="C17" s="319"/>
      <c r="D17" s="28"/>
      <c r="E17" s="28"/>
      <c r="F17" s="28"/>
      <c r="G17" s="28"/>
      <c r="H17" s="28"/>
      <c r="I17" s="28"/>
      <c r="J17" s="28"/>
      <c r="K17" s="28"/>
      <c r="L17" s="27"/>
      <c r="M17" s="2"/>
      <c r="N17" s="2"/>
      <c r="O17" s="2"/>
      <c r="P17" s="2"/>
      <c r="Q17" s="2"/>
      <c r="R17" s="2"/>
      <c r="S17" s="2"/>
      <c r="T17" s="2"/>
      <c r="U17" s="2"/>
      <c r="V17" s="2"/>
      <c r="W17" s="2"/>
      <c r="X17" s="2"/>
      <c r="Y17" s="2"/>
      <c r="Z17" s="2"/>
    </row>
    <row r="18" ht="17.25" customHeight="1">
      <c r="A18" s="27"/>
      <c r="B18" s="28"/>
      <c r="C18" s="28"/>
      <c r="D18" s="28"/>
      <c r="E18" s="28"/>
      <c r="F18" s="28"/>
      <c r="G18" s="28"/>
      <c r="H18" s="28"/>
      <c r="I18" s="28"/>
      <c r="J18" s="28"/>
      <c r="K18" s="28"/>
      <c r="L18" s="27"/>
      <c r="M18" s="2"/>
      <c r="N18" s="2"/>
      <c r="O18" s="2"/>
      <c r="P18" s="2"/>
      <c r="Q18" s="2"/>
      <c r="R18" s="2"/>
      <c r="S18" s="2"/>
      <c r="T18" s="2"/>
      <c r="U18" s="2"/>
      <c r="V18" s="2"/>
      <c r="W18" s="2"/>
      <c r="X18" s="2"/>
      <c r="Y18" s="2"/>
      <c r="Z18" s="2"/>
    </row>
    <row r="19" ht="17.25" customHeight="1">
      <c r="A19" s="27"/>
      <c r="B19" s="28"/>
      <c r="C19" s="28"/>
      <c r="D19" s="28"/>
      <c r="E19" s="46" t="s">
        <v>270</v>
      </c>
      <c r="F19" s="46" t="s">
        <v>235</v>
      </c>
      <c r="G19" s="46" t="s">
        <v>243</v>
      </c>
      <c r="H19" s="46" t="s">
        <v>246</v>
      </c>
      <c r="I19" s="46" t="s">
        <v>249</v>
      </c>
      <c r="J19" s="46" t="s">
        <v>254</v>
      </c>
      <c r="K19" s="28"/>
      <c r="L19" s="27"/>
      <c r="M19" s="2"/>
      <c r="N19" s="2"/>
      <c r="O19" s="2"/>
      <c r="P19" s="2"/>
      <c r="Q19" s="2"/>
      <c r="R19" s="2"/>
      <c r="S19" s="2"/>
      <c r="T19" s="2"/>
      <c r="U19" s="2"/>
      <c r="V19" s="2"/>
      <c r="W19" s="2"/>
      <c r="X19" s="2"/>
      <c r="Y19" s="2"/>
      <c r="Z19" s="2"/>
    </row>
    <row r="20" ht="17.25" customHeight="1">
      <c r="A20" s="27"/>
      <c r="B20" s="28"/>
      <c r="C20" s="28"/>
      <c r="D20" s="30" t="s">
        <v>271</v>
      </c>
      <c r="E20" s="320">
        <v>0.0</v>
      </c>
      <c r="F20" s="320">
        <f>+'Amortización Edificio'!F10</f>
        <v>0</v>
      </c>
      <c r="G20" s="320">
        <f>+'Amortización Edificio'!F11</f>
        <v>0</v>
      </c>
      <c r="H20" s="320">
        <f>+'Amortización Edificio'!F12</f>
        <v>0</v>
      </c>
      <c r="I20" s="320">
        <f>+'Amortización Edificio'!F13</f>
        <v>0</v>
      </c>
      <c r="J20" s="320">
        <f>+'Amortización Edificio'!F14</f>
        <v>0</v>
      </c>
      <c r="K20" s="28"/>
      <c r="L20" s="27"/>
      <c r="M20" s="2"/>
      <c r="N20" s="2"/>
      <c r="O20" s="2"/>
      <c r="P20" s="2"/>
      <c r="Q20" s="2"/>
      <c r="R20" s="2"/>
      <c r="S20" s="2"/>
      <c r="T20" s="2"/>
      <c r="U20" s="2"/>
      <c r="V20" s="2"/>
      <c r="W20" s="2"/>
      <c r="X20" s="2"/>
      <c r="Y20" s="2"/>
      <c r="Z20" s="2"/>
    </row>
    <row r="21" ht="17.25" customHeight="1">
      <c r="A21" s="27"/>
      <c r="B21" s="28"/>
      <c r="C21" s="28"/>
      <c r="D21" s="30" t="s">
        <v>272</v>
      </c>
      <c r="E21" s="320">
        <v>0.0</v>
      </c>
      <c r="F21" s="320">
        <f>+'Amortización Muebles y Utiles'!F10</f>
        <v>1622666.667</v>
      </c>
      <c r="G21" s="320">
        <f>+'Amortización Muebles y Utiles'!F11</f>
        <v>1298133.333</v>
      </c>
      <c r="H21" s="320">
        <f>+'Amortización Muebles y Utiles'!F12</f>
        <v>973600</v>
      </c>
      <c r="I21" s="320">
        <f>+'Amortización Muebles y Utiles'!F13</f>
        <v>649066.6667</v>
      </c>
      <c r="J21" s="320">
        <f>+'Amortización Muebles y Utiles'!F14</f>
        <v>324533.3333</v>
      </c>
      <c r="K21" s="28"/>
      <c r="L21" s="27"/>
      <c r="M21" s="2"/>
      <c r="N21" s="2"/>
      <c r="O21" s="2"/>
      <c r="P21" s="2"/>
      <c r="Q21" s="2"/>
      <c r="R21" s="2"/>
      <c r="S21" s="2"/>
      <c r="T21" s="2"/>
      <c r="U21" s="2"/>
      <c r="V21" s="2"/>
      <c r="W21" s="2"/>
      <c r="X21" s="2"/>
      <c r="Y21" s="2"/>
      <c r="Z21" s="2"/>
    </row>
    <row r="22" ht="17.25" customHeight="1">
      <c r="A22" s="27"/>
      <c r="B22" s="28"/>
      <c r="C22" s="28"/>
      <c r="D22" s="30" t="s">
        <v>273</v>
      </c>
      <c r="E22" s="320">
        <v>0.0</v>
      </c>
      <c r="F22" s="320">
        <f>+'Amortización Rodados'!F10</f>
        <v>0</v>
      </c>
      <c r="G22" s="320">
        <f>+'Amortización Rodados'!F11</f>
        <v>0</v>
      </c>
      <c r="H22" s="320">
        <f>+'Amortización Rodados'!F12</f>
        <v>0</v>
      </c>
      <c r="I22" s="320">
        <f>+'Amortización Rodados'!F13</f>
        <v>0</v>
      </c>
      <c r="J22" s="320">
        <f>+'Amortización Rodados'!F14</f>
        <v>0</v>
      </c>
      <c r="K22" s="28"/>
      <c r="L22" s="27"/>
      <c r="M22" s="2"/>
      <c r="N22" s="2"/>
      <c r="O22" s="2"/>
      <c r="P22" s="2"/>
      <c r="Q22" s="2"/>
      <c r="R22" s="2"/>
      <c r="S22" s="2"/>
      <c r="T22" s="2"/>
      <c r="U22" s="2"/>
      <c r="V22" s="2"/>
      <c r="W22" s="2"/>
      <c r="X22" s="2"/>
      <c r="Y22" s="2"/>
      <c r="Z22" s="2"/>
    </row>
    <row r="23" ht="17.25" customHeight="1">
      <c r="A23" s="27"/>
      <c r="B23" s="28"/>
      <c r="C23" s="28"/>
      <c r="D23" s="30" t="s">
        <v>280</v>
      </c>
      <c r="E23" s="320">
        <v>0.0</v>
      </c>
      <c r="F23" s="320">
        <f>+'Amortización Informática'!F10+'Amortización Desarrollos'!F10</f>
        <v>12058333.33</v>
      </c>
      <c r="G23" s="320">
        <f>+'Amortización Informática'!F11+'Amortización Desarrollos'!F11</f>
        <v>8971333.333</v>
      </c>
      <c r="H23" s="320">
        <f>+'Amortización Informática'!F12+'Amortización Desarrollos'!F12</f>
        <v>5884333.333</v>
      </c>
      <c r="I23" s="331">
        <f>+'Amortización Informática'!F13</f>
        <v>2797333.333</v>
      </c>
      <c r="J23" s="332">
        <v>624000.0</v>
      </c>
      <c r="K23" s="28"/>
      <c r="L23" s="27"/>
      <c r="M23" s="2"/>
      <c r="N23" s="2"/>
      <c r="O23" s="2"/>
      <c r="P23" s="2"/>
      <c r="Q23" s="2"/>
      <c r="R23" s="2"/>
      <c r="S23" s="2"/>
      <c r="T23" s="2"/>
      <c r="U23" s="2"/>
      <c r="V23" s="2"/>
      <c r="W23" s="2"/>
      <c r="X23" s="2"/>
      <c r="Y23" s="2"/>
      <c r="Z23" s="2"/>
    </row>
    <row r="24" ht="17.25" customHeight="1">
      <c r="A24" s="27"/>
      <c r="B24" s="28"/>
      <c r="C24" s="28"/>
      <c r="D24" s="30" t="s">
        <v>276</v>
      </c>
      <c r="E24" s="320">
        <v>0.0</v>
      </c>
      <c r="F24" s="320">
        <f>+'Amortización Máquinas, Herram i'!F10</f>
        <v>229600</v>
      </c>
      <c r="G24" s="320">
        <f>+'Amortización Máquinas, Herram i'!F11</f>
        <v>459200</v>
      </c>
      <c r="H24" s="320">
        <f>+'Amortización Máquinas, Herram i'!F12</f>
        <v>688800</v>
      </c>
      <c r="I24" s="320">
        <f>+'Amortización Máquinas, Herram i'!F13</f>
        <v>918400</v>
      </c>
      <c r="J24" s="320">
        <f>+'Amortización Máquinas, Herram i'!F14</f>
        <v>1148000</v>
      </c>
      <c r="K24" s="28"/>
      <c r="L24" s="27"/>
      <c r="M24" s="2"/>
      <c r="N24" s="2"/>
      <c r="O24" s="2"/>
      <c r="P24" s="2"/>
      <c r="Q24" s="2"/>
      <c r="R24" s="2"/>
      <c r="S24" s="2"/>
      <c r="T24" s="2"/>
      <c r="U24" s="2"/>
      <c r="V24" s="2"/>
      <c r="W24" s="2"/>
      <c r="X24" s="2"/>
      <c r="Y24" s="2"/>
      <c r="Z24" s="2"/>
    </row>
    <row r="25" ht="15.75" customHeight="1">
      <c r="A25" s="27"/>
      <c r="B25" s="28"/>
      <c r="C25" s="28"/>
      <c r="D25" s="327" t="s">
        <v>281</v>
      </c>
      <c r="E25" s="328">
        <v>0.0</v>
      </c>
      <c r="F25" s="327">
        <f t="shared" ref="F25:J25" si="2">SUM(F20:F24)</f>
        <v>13910600</v>
      </c>
      <c r="G25" s="327">
        <f t="shared" si="2"/>
        <v>10728666.67</v>
      </c>
      <c r="H25" s="327">
        <f t="shared" si="2"/>
        <v>7546733.333</v>
      </c>
      <c r="I25" s="327">
        <f t="shared" si="2"/>
        <v>4364800</v>
      </c>
      <c r="J25" s="327">
        <f t="shared" si="2"/>
        <v>2096533.333</v>
      </c>
      <c r="K25" s="28"/>
      <c r="L25" s="27"/>
      <c r="M25" s="2"/>
      <c r="N25" s="2"/>
      <c r="O25" s="2"/>
      <c r="P25" s="2"/>
      <c r="Q25" s="2"/>
      <c r="R25" s="2"/>
      <c r="S25" s="2"/>
      <c r="T25" s="2"/>
      <c r="U25" s="2"/>
      <c r="V25" s="2"/>
      <c r="W25" s="2"/>
      <c r="X25" s="2"/>
      <c r="Y25" s="2"/>
      <c r="Z25" s="2"/>
    </row>
    <row r="26" ht="15.75" customHeight="1">
      <c r="A26" s="27"/>
      <c r="B26" s="27"/>
      <c r="C26" s="27"/>
      <c r="D26" s="28"/>
      <c r="E26" s="28"/>
      <c r="F26" s="28"/>
      <c r="G26" s="28"/>
      <c r="H26" s="28"/>
      <c r="I26" s="28"/>
      <c r="J26" s="28"/>
      <c r="K26" s="27"/>
      <c r="L26" s="27"/>
      <c r="M26" s="2"/>
      <c r="N26" s="2"/>
      <c r="O26" s="2"/>
      <c r="P26" s="2"/>
      <c r="Q26" s="2"/>
      <c r="R26" s="2"/>
      <c r="S26" s="2"/>
      <c r="T26" s="2"/>
      <c r="U26" s="2"/>
      <c r="V26" s="2"/>
      <c r="W26" s="2"/>
      <c r="X26" s="2"/>
      <c r="Y26" s="2"/>
      <c r="Z26" s="2"/>
    </row>
    <row r="27" ht="15.75" customHeight="1">
      <c r="A27" s="2"/>
      <c r="B27" s="2"/>
      <c r="C27" s="2"/>
      <c r="D27" s="27"/>
      <c r="E27" s="27"/>
      <c r="F27" s="27"/>
      <c r="G27" s="27"/>
      <c r="H27" s="27"/>
      <c r="I27" s="27"/>
      <c r="J27" s="27"/>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D225" s="2"/>
      <c r="E225" s="2"/>
      <c r="F225" s="2"/>
      <c r="G225" s="2"/>
      <c r="H225" s="2"/>
      <c r="I225" s="2"/>
      <c r="J225" s="2"/>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3300"/>
    <outlinePr summaryBelow="0" summaryRight="0"/>
    <pageSetUpPr/>
  </sheetPr>
  <sheetViews>
    <sheetView showGridLines="0" workbookViewId="0"/>
  </sheetViews>
  <sheetFormatPr customHeight="1" defaultColWidth="14.43" defaultRowHeight="15.0"/>
  <cols>
    <col customWidth="1" min="1" max="1" width="4.29"/>
    <col customWidth="1" min="2" max="2" width="2.86"/>
    <col customWidth="1" min="3" max="3" width="53.29"/>
    <col customWidth="1" min="4" max="4" width="14.71"/>
    <col customWidth="1" min="5" max="5" width="22.86"/>
    <col customWidth="1" min="6" max="7" width="14.57"/>
    <col customWidth="1" min="8" max="9" width="14.86"/>
    <col customWidth="1" min="10" max="10" width="2.29"/>
    <col customWidth="1" min="11" max="20" width="11.43"/>
    <col customWidth="1" min="21" max="26" width="17.29"/>
  </cols>
  <sheetData>
    <row r="1" ht="12.75" customHeight="1">
      <c r="A1" s="333"/>
      <c r="B1" s="28"/>
      <c r="C1" s="28"/>
      <c r="D1" s="28"/>
      <c r="E1" s="28"/>
      <c r="F1" s="28"/>
      <c r="G1" s="28"/>
      <c r="H1" s="28"/>
      <c r="I1" s="28"/>
      <c r="J1" s="28"/>
      <c r="K1" s="333"/>
      <c r="L1" s="2"/>
      <c r="M1" s="2"/>
      <c r="N1" s="2"/>
      <c r="O1" s="2"/>
      <c r="P1" s="2"/>
      <c r="Q1" s="2"/>
      <c r="R1" s="2"/>
      <c r="S1" s="2"/>
      <c r="T1" s="2"/>
      <c r="U1" s="2"/>
      <c r="V1" s="2"/>
      <c r="W1" s="2"/>
      <c r="X1" s="2"/>
      <c r="Y1" s="2"/>
      <c r="Z1" s="2"/>
    </row>
    <row r="2" ht="18.75" customHeight="1">
      <c r="A2" s="333"/>
      <c r="B2" s="28"/>
      <c r="C2" s="153" t="s">
        <v>282</v>
      </c>
      <c r="D2" s="38"/>
      <c r="E2" s="38"/>
      <c r="F2" s="38"/>
      <c r="G2" s="38"/>
      <c r="H2" s="38"/>
      <c r="I2" s="38"/>
      <c r="J2" s="28"/>
      <c r="K2" s="333"/>
      <c r="L2" s="2"/>
      <c r="M2" s="2"/>
      <c r="N2" s="2"/>
      <c r="O2" s="2"/>
      <c r="P2" s="2"/>
      <c r="Q2" s="2"/>
      <c r="R2" s="2"/>
      <c r="S2" s="2"/>
      <c r="T2" s="2"/>
      <c r="U2" s="2"/>
      <c r="V2" s="2"/>
      <c r="W2" s="2"/>
      <c r="X2" s="2"/>
      <c r="Y2" s="2"/>
      <c r="Z2" s="2"/>
    </row>
    <row r="3" ht="12.75" customHeight="1">
      <c r="A3" s="333"/>
      <c r="B3" s="28"/>
      <c r="C3" s="28"/>
      <c r="D3" s="38"/>
      <c r="E3" s="38"/>
      <c r="F3" s="38"/>
      <c r="G3" s="38"/>
      <c r="H3" s="38"/>
      <c r="I3" s="38"/>
      <c r="J3" s="28"/>
      <c r="K3" s="333"/>
      <c r="L3" s="2"/>
      <c r="M3" s="2"/>
      <c r="N3" s="2"/>
      <c r="O3" s="2"/>
      <c r="P3" s="2"/>
      <c r="Q3" s="2"/>
      <c r="R3" s="2"/>
      <c r="S3" s="2"/>
      <c r="T3" s="2"/>
      <c r="U3" s="2"/>
      <c r="V3" s="2"/>
      <c r="W3" s="2"/>
      <c r="X3" s="2"/>
      <c r="Y3" s="2"/>
      <c r="Z3" s="2"/>
    </row>
    <row r="4" ht="12.75" customHeight="1">
      <c r="A4" s="333"/>
      <c r="B4" s="28"/>
      <c r="C4" s="334" t="s">
        <v>283</v>
      </c>
      <c r="D4" s="335">
        <f>+('Costos Variables de Fabricación'!F21+'Gastos de Comercialización'!F23+'Gastos Adm y Finanzas'!F17)*3/12</f>
        <v>12137889.82</v>
      </c>
      <c r="E4" s="334" t="s">
        <v>284</v>
      </c>
      <c r="F4" s="38"/>
      <c r="G4" s="38"/>
      <c r="H4" s="38"/>
      <c r="I4" s="38"/>
      <c r="J4" s="28"/>
      <c r="K4" s="333"/>
      <c r="L4" s="2"/>
      <c r="M4" s="2"/>
      <c r="N4" s="2"/>
      <c r="O4" s="2"/>
      <c r="P4" s="2"/>
      <c r="Q4" s="2"/>
      <c r="R4" s="2"/>
      <c r="S4" s="2"/>
      <c r="T4" s="2"/>
      <c r="U4" s="2"/>
      <c r="V4" s="2"/>
      <c r="W4" s="2"/>
      <c r="X4" s="2"/>
      <c r="Y4" s="2"/>
      <c r="Z4" s="2"/>
    </row>
    <row r="5" ht="12.75" customHeight="1">
      <c r="A5" s="333"/>
      <c r="B5" s="28"/>
      <c r="C5" s="334" t="s">
        <v>285</v>
      </c>
      <c r="D5" s="335">
        <f>+'Costos Variables de Fabricación'!L31/60*3</f>
        <v>5480000</v>
      </c>
      <c r="E5" s="334" t="s">
        <v>286</v>
      </c>
      <c r="F5" s="38"/>
      <c r="G5" s="38"/>
      <c r="H5" s="38"/>
      <c r="I5" s="38"/>
      <c r="J5" s="28"/>
      <c r="K5" s="333"/>
      <c r="L5" s="2"/>
      <c r="M5" s="2"/>
      <c r="N5" s="2"/>
      <c r="O5" s="2"/>
      <c r="P5" s="2"/>
      <c r="Q5" s="2"/>
      <c r="R5" s="2"/>
      <c r="S5" s="2"/>
      <c r="T5" s="2"/>
      <c r="U5" s="2"/>
      <c r="V5" s="2"/>
      <c r="W5" s="2"/>
      <c r="X5" s="2"/>
      <c r="Y5" s="2"/>
      <c r="Z5" s="2"/>
    </row>
    <row r="6" ht="12.75" customHeight="1">
      <c r="A6" s="333"/>
      <c r="B6" s="28"/>
      <c r="C6" s="92"/>
      <c r="D6" s="38"/>
      <c r="E6" s="38"/>
      <c r="F6" s="38"/>
      <c r="G6" s="38"/>
      <c r="H6" s="38"/>
      <c r="I6" s="38"/>
      <c r="J6" s="28"/>
      <c r="K6" s="333"/>
      <c r="L6" s="2"/>
      <c r="M6" s="2"/>
      <c r="N6" s="2"/>
      <c r="O6" s="2"/>
      <c r="P6" s="2"/>
      <c r="Q6" s="2"/>
      <c r="R6" s="2"/>
      <c r="S6" s="2"/>
      <c r="T6" s="2"/>
      <c r="U6" s="2"/>
      <c r="V6" s="2"/>
      <c r="W6" s="2"/>
      <c r="X6" s="2"/>
      <c r="Y6" s="2"/>
      <c r="Z6" s="2"/>
    </row>
    <row r="7" ht="12.75" customHeight="1">
      <c r="A7" s="333"/>
      <c r="B7" s="28"/>
      <c r="C7" s="334" t="s">
        <v>287</v>
      </c>
      <c r="D7" s="335">
        <f>+D5*21%</f>
        <v>1150800</v>
      </c>
      <c r="E7" s="38"/>
      <c r="F7" s="38"/>
      <c r="G7" s="38"/>
      <c r="H7" s="38"/>
      <c r="I7" s="38"/>
      <c r="J7" s="28"/>
      <c r="K7" s="333"/>
      <c r="L7" s="2"/>
      <c r="M7" s="2"/>
      <c r="N7" s="2"/>
      <c r="O7" s="2"/>
      <c r="P7" s="2"/>
      <c r="Q7" s="2"/>
      <c r="R7" s="2"/>
      <c r="S7" s="2"/>
      <c r="T7" s="2"/>
      <c r="U7" s="2"/>
      <c r="V7" s="2"/>
      <c r="W7" s="2"/>
      <c r="X7" s="2"/>
      <c r="Y7" s="2"/>
      <c r="Z7" s="2"/>
    </row>
    <row r="8" ht="12.75" customHeight="1">
      <c r="A8" s="333"/>
      <c r="B8" s="28"/>
      <c r="C8" s="334" t="s">
        <v>288</v>
      </c>
      <c r="D8" s="336">
        <f>'Activo no Corriente'!E15</f>
        <v>10006500</v>
      </c>
      <c r="E8" s="336">
        <f>D8+D7</f>
        <v>11157300</v>
      </c>
      <c r="F8" s="38"/>
      <c r="G8" s="38"/>
      <c r="H8" s="38"/>
      <c r="I8" s="38"/>
      <c r="J8" s="28"/>
      <c r="K8" s="333"/>
      <c r="L8" s="2"/>
      <c r="M8" s="2"/>
      <c r="N8" s="2"/>
      <c r="O8" s="2"/>
      <c r="P8" s="2"/>
      <c r="Q8" s="2"/>
      <c r="R8" s="2"/>
      <c r="S8" s="2"/>
      <c r="T8" s="2"/>
      <c r="U8" s="2"/>
      <c r="V8" s="2"/>
      <c r="W8" s="2"/>
      <c r="X8" s="2"/>
      <c r="Y8" s="2"/>
      <c r="Z8" s="2"/>
    </row>
    <row r="9" ht="12.75" customHeight="1">
      <c r="A9" s="333"/>
      <c r="B9" s="28"/>
      <c r="C9" s="337" t="s">
        <v>289</v>
      </c>
      <c r="D9" s="335">
        <f>+D4+D5</f>
        <v>17617889.82</v>
      </c>
      <c r="E9" s="38"/>
      <c r="F9" s="38"/>
      <c r="G9" s="38"/>
      <c r="H9" s="38"/>
      <c r="I9" s="38"/>
      <c r="J9" s="28"/>
      <c r="K9" s="333"/>
      <c r="L9" s="2"/>
      <c r="M9" s="2"/>
      <c r="N9" s="2"/>
      <c r="O9" s="2"/>
      <c r="P9" s="2"/>
      <c r="Q9" s="2"/>
      <c r="R9" s="2"/>
      <c r="S9" s="2"/>
      <c r="T9" s="2"/>
      <c r="U9" s="2"/>
      <c r="V9" s="2"/>
      <c r="W9" s="2"/>
      <c r="X9" s="2"/>
      <c r="Y9" s="2"/>
      <c r="Z9" s="2"/>
    </row>
    <row r="10" ht="18.75" customHeight="1">
      <c r="A10" s="333"/>
      <c r="B10" s="28"/>
      <c r="C10" s="153"/>
      <c r="D10" s="38"/>
      <c r="E10" s="38"/>
      <c r="F10" s="38"/>
      <c r="G10" s="38"/>
      <c r="H10" s="38"/>
      <c r="I10" s="38"/>
      <c r="J10" s="28"/>
      <c r="K10" s="333"/>
      <c r="L10" s="2"/>
      <c r="M10" s="2"/>
      <c r="N10" s="2"/>
      <c r="O10" s="2"/>
      <c r="P10" s="2"/>
      <c r="Q10" s="2"/>
      <c r="R10" s="2"/>
      <c r="S10" s="2"/>
      <c r="T10" s="2"/>
      <c r="U10" s="2"/>
      <c r="V10" s="2"/>
      <c r="W10" s="2"/>
      <c r="X10" s="2"/>
      <c r="Y10" s="2"/>
      <c r="Z10" s="2"/>
    </row>
    <row r="11" ht="12.75" customHeight="1">
      <c r="A11" s="333"/>
      <c r="B11" s="28"/>
      <c r="C11" s="38"/>
      <c r="D11" s="38"/>
      <c r="E11" s="38"/>
      <c r="F11" s="38"/>
      <c r="G11" s="38"/>
      <c r="H11" s="38"/>
      <c r="I11" s="38"/>
      <c r="J11" s="28"/>
      <c r="K11" s="333"/>
      <c r="L11" s="2"/>
      <c r="M11" s="2"/>
      <c r="N11" s="2"/>
      <c r="O11" s="2"/>
      <c r="P11" s="2"/>
      <c r="Q11" s="2"/>
      <c r="R11" s="2"/>
      <c r="S11" s="2"/>
      <c r="T11" s="2"/>
      <c r="U11" s="2"/>
      <c r="V11" s="2"/>
      <c r="W11" s="2"/>
      <c r="X11" s="2"/>
      <c r="Y11" s="2"/>
      <c r="Z11" s="2"/>
    </row>
    <row r="12" ht="12.75" customHeight="1">
      <c r="A12" s="333"/>
      <c r="B12" s="28"/>
      <c r="C12" s="169" t="s">
        <v>290</v>
      </c>
      <c r="D12" s="46" t="s">
        <v>270</v>
      </c>
      <c r="E12" s="46" t="s">
        <v>235</v>
      </c>
      <c r="F12" s="46" t="s">
        <v>243</v>
      </c>
      <c r="G12" s="46" t="s">
        <v>246</v>
      </c>
      <c r="H12" s="46" t="s">
        <v>249</v>
      </c>
      <c r="I12" s="46" t="s">
        <v>254</v>
      </c>
      <c r="J12" s="28"/>
      <c r="K12" s="333"/>
      <c r="L12" s="2"/>
      <c r="M12" s="2"/>
      <c r="N12" s="2"/>
      <c r="O12" s="2"/>
      <c r="P12" s="2"/>
      <c r="Q12" s="2"/>
      <c r="R12" s="2"/>
      <c r="S12" s="2"/>
      <c r="T12" s="2"/>
      <c r="U12" s="2"/>
      <c r="V12" s="2"/>
      <c r="W12" s="2"/>
      <c r="X12" s="2"/>
      <c r="Y12" s="2"/>
      <c r="Z12" s="2"/>
    </row>
    <row r="13" ht="12.75" customHeight="1">
      <c r="A13" s="333"/>
      <c r="B13" s="28"/>
      <c r="C13" s="338" t="s">
        <v>291</v>
      </c>
      <c r="D13" s="320">
        <f>+D9</f>
        <v>17617889.82</v>
      </c>
      <c r="E13" s="320">
        <f>+'Balances Pro Forma'!F30</f>
        <v>1836659.587</v>
      </c>
      <c r="F13" s="320">
        <f>+'Balances Pro Forma'!I30</f>
        <v>-6852752.359</v>
      </c>
      <c r="G13" s="320">
        <f>+'Balances Pro Forma'!L30</f>
        <v>23469777.8</v>
      </c>
      <c r="H13" s="320">
        <f>+'Balances Pro Forma'!O30</f>
        <v>88159162.87</v>
      </c>
      <c r="I13" s="320">
        <f>+'Balances Pro Forma'!R30</f>
        <v>205404657.4</v>
      </c>
      <c r="J13" s="28"/>
      <c r="K13" s="333"/>
      <c r="L13" s="2"/>
      <c r="M13" s="2"/>
      <c r="N13" s="2"/>
      <c r="O13" s="2"/>
      <c r="P13" s="2"/>
      <c r="Q13" s="2"/>
      <c r="R13" s="2"/>
      <c r="S13" s="2"/>
      <c r="T13" s="2"/>
      <c r="U13" s="2"/>
      <c r="V13" s="2"/>
      <c r="W13" s="2"/>
      <c r="X13" s="2"/>
      <c r="Y13" s="2"/>
      <c r="Z13" s="2"/>
    </row>
    <row r="14" ht="12.75" customHeight="1">
      <c r="A14" s="333"/>
      <c r="B14" s="28"/>
      <c r="C14" s="338" t="s">
        <v>292</v>
      </c>
      <c r="D14" s="320">
        <v>0.0</v>
      </c>
      <c r="E14" s="320">
        <f>+'Balances Pro Forma'!F32</f>
        <v>13191780.82</v>
      </c>
      <c r="F14" s="320">
        <f>+'Balances Pro Forma'!I32</f>
        <v>18468493.15</v>
      </c>
      <c r="G14" s="320">
        <f>+'Balances Pro Forma'!L32</f>
        <v>26383561.64</v>
      </c>
      <c r="H14" s="320">
        <f>+'Balances Pro Forma'!O32</f>
        <v>36936986.3</v>
      </c>
      <c r="I14" s="320">
        <f>+'Balances Pro Forma'!R32</f>
        <v>52767123.29</v>
      </c>
      <c r="J14" s="28"/>
      <c r="K14" s="333"/>
      <c r="L14" s="2"/>
      <c r="M14" s="2"/>
      <c r="N14" s="2"/>
      <c r="O14" s="2"/>
      <c r="P14" s="2"/>
      <c r="Q14" s="2"/>
      <c r="R14" s="2"/>
      <c r="S14" s="2"/>
      <c r="T14" s="2"/>
      <c r="U14" s="2"/>
      <c r="V14" s="2"/>
      <c r="W14" s="2"/>
      <c r="X14" s="2"/>
      <c r="Y14" s="2"/>
      <c r="Z14" s="2"/>
    </row>
    <row r="15" ht="12.75" customHeight="1">
      <c r="A15" s="333"/>
      <c r="B15" s="28"/>
      <c r="C15" s="339" t="s">
        <v>293</v>
      </c>
      <c r="D15" s="320">
        <v>0.0</v>
      </c>
      <c r="E15" s="320">
        <f>+'Balances Pro Forma'!F34</f>
        <v>8794520.548</v>
      </c>
      <c r="F15" s="320">
        <f>+'Balances Pro Forma'!I34</f>
        <v>12312328.77</v>
      </c>
      <c r="G15" s="320">
        <f>+'Balances Pro Forma'!L34</f>
        <v>17589041.1</v>
      </c>
      <c r="H15" s="320">
        <f>+'Balances Pro Forma'!O34</f>
        <v>24624657.53</v>
      </c>
      <c r="I15" s="320">
        <f>+'Balances Pro Forma'!R34</f>
        <v>35178082.19</v>
      </c>
      <c r="J15" s="28"/>
      <c r="K15" s="333"/>
      <c r="L15" s="2"/>
      <c r="M15" s="2"/>
      <c r="N15" s="2"/>
      <c r="O15" s="2"/>
      <c r="P15" s="2"/>
      <c r="Q15" s="2"/>
      <c r="R15" s="2"/>
      <c r="S15" s="2"/>
      <c r="T15" s="2"/>
      <c r="U15" s="2"/>
      <c r="V15" s="2"/>
      <c r="W15" s="2"/>
      <c r="X15" s="2"/>
      <c r="Y15" s="2"/>
      <c r="Z15" s="2"/>
    </row>
    <row r="16" ht="12.75" customHeight="1">
      <c r="A16" s="333"/>
      <c r="B16" s="28"/>
      <c r="C16" s="334" t="s">
        <v>294</v>
      </c>
      <c r="D16" s="335">
        <f t="shared" ref="D16:I16" si="1">SUM(D13:D15)</f>
        <v>17617889.82</v>
      </c>
      <c r="E16" s="335">
        <f t="shared" si="1"/>
        <v>23822960.96</v>
      </c>
      <c r="F16" s="335">
        <f t="shared" si="1"/>
        <v>23928069.56</v>
      </c>
      <c r="G16" s="335">
        <f t="shared" si="1"/>
        <v>67442380.54</v>
      </c>
      <c r="H16" s="335">
        <f t="shared" si="1"/>
        <v>149720806.7</v>
      </c>
      <c r="I16" s="335">
        <f t="shared" si="1"/>
        <v>293349862.9</v>
      </c>
      <c r="J16" s="28"/>
      <c r="K16" s="333"/>
      <c r="L16" s="2"/>
      <c r="M16" s="2"/>
      <c r="N16" s="2"/>
      <c r="O16" s="2"/>
      <c r="P16" s="2"/>
      <c r="Q16" s="2"/>
      <c r="R16" s="2"/>
      <c r="S16" s="2"/>
      <c r="T16" s="2"/>
      <c r="U16" s="2"/>
      <c r="V16" s="2"/>
      <c r="W16" s="2"/>
      <c r="X16" s="2"/>
      <c r="Y16" s="2"/>
      <c r="Z16" s="2"/>
    </row>
    <row r="17" ht="12.75" customHeight="1">
      <c r="A17" s="333"/>
      <c r="B17" s="28"/>
      <c r="C17" s="338" t="s">
        <v>295</v>
      </c>
      <c r="D17" s="320">
        <v>0.0</v>
      </c>
      <c r="E17" s="320">
        <f>+'Balances Pro Forma'!F45</f>
        <v>13191780.82</v>
      </c>
      <c r="F17" s="320">
        <f>+'Balances Pro Forma'!I45</f>
        <v>18468493.15</v>
      </c>
      <c r="G17" s="320">
        <f>+'Balances Pro Forma'!L45</f>
        <v>26383561.64</v>
      </c>
      <c r="H17" s="320">
        <f>+'Balances Pro Forma'!O45</f>
        <v>36936986.3</v>
      </c>
      <c r="I17" s="320">
        <f>+'Balances Pro Forma'!R45</f>
        <v>52767123.29</v>
      </c>
      <c r="J17" s="28"/>
      <c r="K17" s="333"/>
      <c r="L17" s="2"/>
      <c r="M17" s="2"/>
      <c r="N17" s="2"/>
      <c r="O17" s="2"/>
      <c r="P17" s="2"/>
      <c r="Q17" s="2"/>
      <c r="R17" s="2"/>
      <c r="S17" s="2"/>
      <c r="T17" s="2"/>
      <c r="U17" s="2"/>
      <c r="V17" s="2"/>
      <c r="W17" s="2"/>
      <c r="X17" s="2"/>
      <c r="Y17" s="2"/>
      <c r="Z17" s="2"/>
    </row>
    <row r="18" ht="12.75" customHeight="1">
      <c r="A18" s="333"/>
      <c r="B18" s="28"/>
      <c r="C18" s="338" t="s">
        <v>296</v>
      </c>
      <c r="D18" s="320">
        <v>0.0</v>
      </c>
      <c r="E18" s="320">
        <v>0.0</v>
      </c>
      <c r="F18" s="320">
        <v>0.0</v>
      </c>
      <c r="G18" s="320">
        <v>0.0</v>
      </c>
      <c r="H18" s="320">
        <v>0.0</v>
      </c>
      <c r="I18" s="320">
        <v>0.0</v>
      </c>
      <c r="J18" s="28"/>
      <c r="K18" s="333"/>
      <c r="L18" s="2"/>
      <c r="M18" s="2"/>
      <c r="N18" s="2"/>
      <c r="O18" s="2"/>
      <c r="P18" s="2"/>
      <c r="Q18" s="2"/>
      <c r="R18" s="2"/>
      <c r="S18" s="2"/>
      <c r="T18" s="2"/>
      <c r="U18" s="2"/>
      <c r="V18" s="2"/>
      <c r="W18" s="2"/>
      <c r="X18" s="2"/>
      <c r="Y18" s="2"/>
      <c r="Z18" s="2"/>
    </row>
    <row r="19" ht="12.75" customHeight="1">
      <c r="A19" s="333"/>
      <c r="B19" s="28"/>
      <c r="C19" s="340" t="s">
        <v>297</v>
      </c>
      <c r="D19" s="320">
        <v>0.0</v>
      </c>
      <c r="E19" s="320">
        <v>0.0</v>
      </c>
      <c r="F19" s="320">
        <v>0.0</v>
      </c>
      <c r="G19" s="320">
        <v>0.0</v>
      </c>
      <c r="H19" s="320">
        <v>0.0</v>
      </c>
      <c r="I19" s="320">
        <v>0.0</v>
      </c>
      <c r="J19" s="341" t="s">
        <v>6</v>
      </c>
      <c r="K19" s="333"/>
      <c r="L19" s="2"/>
      <c r="M19" s="2"/>
      <c r="N19" s="2"/>
      <c r="O19" s="2"/>
      <c r="P19" s="2"/>
      <c r="Q19" s="2"/>
      <c r="R19" s="2"/>
      <c r="S19" s="2"/>
      <c r="T19" s="2"/>
      <c r="U19" s="2"/>
      <c r="V19" s="2"/>
      <c r="W19" s="2"/>
      <c r="X19" s="2"/>
      <c r="Y19" s="2"/>
      <c r="Z19" s="2"/>
    </row>
    <row r="20" ht="12.75" customHeight="1">
      <c r="A20" s="333"/>
      <c r="B20" s="28"/>
      <c r="C20" s="342" t="s">
        <v>298</v>
      </c>
      <c r="D20" s="343">
        <f t="shared" ref="D20:I20" si="2">SUM(D17:D19)</f>
        <v>0</v>
      </c>
      <c r="E20" s="343">
        <f t="shared" si="2"/>
        <v>13191780.82</v>
      </c>
      <c r="F20" s="343">
        <f t="shared" si="2"/>
        <v>18468493.15</v>
      </c>
      <c r="G20" s="343">
        <f t="shared" si="2"/>
        <v>26383561.64</v>
      </c>
      <c r="H20" s="343">
        <f t="shared" si="2"/>
        <v>36936986.3</v>
      </c>
      <c r="I20" s="343">
        <f t="shared" si="2"/>
        <v>52767123.29</v>
      </c>
      <c r="J20" s="28"/>
      <c r="K20" s="333"/>
      <c r="L20" s="2"/>
      <c r="M20" s="2"/>
      <c r="N20" s="2"/>
      <c r="O20" s="2"/>
      <c r="P20" s="2"/>
      <c r="Q20" s="2"/>
      <c r="R20" s="2"/>
      <c r="S20" s="2"/>
      <c r="T20" s="2"/>
      <c r="U20" s="2"/>
      <c r="V20" s="2"/>
      <c r="W20" s="2"/>
      <c r="X20" s="2"/>
      <c r="Y20" s="2"/>
      <c r="Z20" s="2"/>
    </row>
    <row r="21" ht="12.75" customHeight="1">
      <c r="A21" s="333"/>
      <c r="B21" s="28"/>
      <c r="C21" s="338" t="s">
        <v>299</v>
      </c>
      <c r="D21" s="325">
        <f t="shared" ref="D21:I21" si="3">+D16-D20</f>
        <v>17617889.82</v>
      </c>
      <c r="E21" s="320">
        <f t="shared" si="3"/>
        <v>10631180.13</v>
      </c>
      <c r="F21" s="320">
        <f t="shared" si="3"/>
        <v>5459576.409</v>
      </c>
      <c r="G21" s="320">
        <f t="shared" si="3"/>
        <v>41058818.89</v>
      </c>
      <c r="H21" s="320">
        <f t="shared" si="3"/>
        <v>112783820.4</v>
      </c>
      <c r="I21" s="320">
        <f t="shared" si="3"/>
        <v>240582739.6</v>
      </c>
      <c r="J21" s="28"/>
      <c r="K21" s="333"/>
      <c r="L21" s="2"/>
      <c r="M21" s="2"/>
      <c r="N21" s="2"/>
      <c r="O21" s="2"/>
      <c r="P21" s="2"/>
      <c r="Q21" s="2"/>
      <c r="R21" s="2"/>
      <c r="S21" s="2"/>
      <c r="T21" s="2"/>
      <c r="U21" s="2"/>
      <c r="V21" s="2"/>
      <c r="W21" s="2"/>
      <c r="X21" s="2"/>
      <c r="Y21" s="2"/>
      <c r="Z21" s="2"/>
    </row>
    <row r="22" ht="12.75" customHeight="1">
      <c r="A22" s="333"/>
      <c r="B22" s="28"/>
      <c r="C22" s="338" t="s">
        <v>300</v>
      </c>
      <c r="D22" s="344"/>
      <c r="E22" s="345">
        <f t="shared" ref="E22:I22" si="4">+E21-D21</f>
        <v>-6986709.681</v>
      </c>
      <c r="F22" s="320">
        <f t="shared" si="4"/>
        <v>-5171603.726</v>
      </c>
      <c r="G22" s="320">
        <f t="shared" si="4"/>
        <v>35599242.48</v>
      </c>
      <c r="H22" s="320">
        <f t="shared" si="4"/>
        <v>71725001.51</v>
      </c>
      <c r="I22" s="320">
        <f t="shared" si="4"/>
        <v>127798919.2</v>
      </c>
      <c r="J22" s="28"/>
      <c r="K22" s="333"/>
      <c r="L22" s="2"/>
      <c r="M22" s="2"/>
      <c r="N22" s="2"/>
      <c r="O22" s="2"/>
      <c r="P22" s="2"/>
      <c r="Q22" s="2"/>
      <c r="R22" s="2"/>
      <c r="S22" s="2"/>
      <c r="T22" s="2"/>
      <c r="U22" s="2"/>
      <c r="V22" s="2"/>
      <c r="W22" s="2"/>
      <c r="X22" s="2"/>
      <c r="Y22" s="2"/>
      <c r="Z22" s="2"/>
    </row>
    <row r="23" ht="12.75" customHeight="1">
      <c r="A23" s="333"/>
      <c r="B23" s="28"/>
      <c r="C23" s="28"/>
      <c r="D23" s="28"/>
      <c r="E23" s="28"/>
      <c r="F23" s="28"/>
      <c r="G23" s="28"/>
      <c r="H23" s="28"/>
      <c r="I23" s="28"/>
      <c r="J23" s="28"/>
      <c r="K23" s="333"/>
      <c r="L23" s="2"/>
      <c r="M23" s="2"/>
      <c r="N23" s="2"/>
      <c r="O23" s="2"/>
      <c r="P23" s="2"/>
      <c r="Q23" s="2"/>
      <c r="R23" s="2"/>
      <c r="S23" s="2"/>
      <c r="T23" s="2"/>
      <c r="U23" s="2"/>
      <c r="V23" s="2"/>
      <c r="W23" s="2"/>
      <c r="X23" s="2"/>
      <c r="Y23" s="2"/>
      <c r="Z23" s="2"/>
    </row>
    <row r="24" ht="12.75" customHeight="1">
      <c r="A24" s="346"/>
      <c r="B24" s="346"/>
      <c r="C24" s="346"/>
      <c r="D24" s="346"/>
      <c r="E24" s="346"/>
      <c r="F24" s="346"/>
      <c r="G24" s="346"/>
      <c r="H24" s="346"/>
      <c r="I24" s="346"/>
      <c r="J24" s="346"/>
      <c r="K24" s="333"/>
      <c r="L24" s="2"/>
      <c r="M24" s="2"/>
      <c r="N24" s="2"/>
      <c r="O24" s="2"/>
      <c r="P24" s="2"/>
      <c r="Q24" s="2"/>
      <c r="R24" s="2"/>
      <c r="S24" s="2"/>
      <c r="T24" s="2"/>
      <c r="U24" s="2"/>
      <c r="V24" s="2"/>
      <c r="W24" s="2"/>
      <c r="X24" s="2"/>
      <c r="Y24" s="2"/>
      <c r="Z24" s="2"/>
    </row>
    <row r="25" ht="12.75" customHeight="1">
      <c r="A25" s="346"/>
      <c r="B25" s="346"/>
      <c r="C25" s="346"/>
      <c r="D25" s="346"/>
      <c r="E25" s="346"/>
      <c r="F25" s="346"/>
      <c r="G25" s="346"/>
      <c r="H25" s="346"/>
      <c r="I25" s="346"/>
      <c r="J25" s="346"/>
      <c r="K25" s="333"/>
      <c r="L25" s="2"/>
      <c r="M25" s="2"/>
      <c r="N25" s="2"/>
      <c r="O25" s="2"/>
      <c r="P25" s="2"/>
      <c r="Q25" s="2"/>
      <c r="R25" s="2"/>
      <c r="S25" s="2"/>
      <c r="T25" s="2"/>
      <c r="U25" s="2"/>
      <c r="V25" s="2"/>
      <c r="W25" s="2"/>
      <c r="X25" s="2"/>
      <c r="Y25" s="2"/>
      <c r="Z25" s="2"/>
    </row>
    <row r="26" ht="12.75" customHeight="1">
      <c r="A26" s="346"/>
      <c r="B26" s="346"/>
      <c r="C26" s="346"/>
      <c r="D26" s="346"/>
      <c r="E26" s="346"/>
      <c r="F26" s="346"/>
      <c r="G26" s="346"/>
      <c r="H26" s="346"/>
      <c r="I26" s="346"/>
      <c r="J26" s="346"/>
      <c r="K26" s="333"/>
      <c r="L26" s="2"/>
      <c r="M26" s="2"/>
      <c r="N26" s="2"/>
      <c r="O26" s="2"/>
      <c r="P26" s="2"/>
      <c r="Q26" s="2"/>
      <c r="R26" s="2"/>
      <c r="S26" s="2"/>
      <c r="T26" s="2"/>
      <c r="U26" s="2"/>
      <c r="V26" s="2"/>
      <c r="W26" s="2"/>
      <c r="X26" s="2"/>
      <c r="Y26" s="2"/>
      <c r="Z26" s="2"/>
    </row>
    <row r="27" ht="12.75" customHeight="1">
      <c r="A27" s="346"/>
      <c r="B27" s="346"/>
      <c r="C27" s="346"/>
      <c r="D27" s="346"/>
      <c r="E27" s="346"/>
      <c r="F27" s="346"/>
      <c r="G27" s="346"/>
      <c r="H27" s="346"/>
      <c r="I27" s="346"/>
      <c r="J27" s="346"/>
      <c r="K27" s="333"/>
      <c r="L27" s="2"/>
      <c r="M27" s="2"/>
      <c r="N27" s="2"/>
      <c r="O27" s="2"/>
      <c r="P27" s="2"/>
      <c r="Q27" s="2"/>
      <c r="R27" s="2"/>
      <c r="S27" s="2"/>
      <c r="T27" s="2"/>
      <c r="U27" s="2"/>
      <c r="V27" s="2"/>
      <c r="W27" s="2"/>
      <c r="X27" s="2"/>
      <c r="Y27" s="2"/>
      <c r="Z27" s="2"/>
    </row>
    <row r="28" ht="12.75" customHeight="1">
      <c r="A28" s="346"/>
      <c r="B28" s="346"/>
      <c r="C28" s="346"/>
      <c r="D28" s="346"/>
      <c r="E28" s="346"/>
      <c r="F28" s="346"/>
      <c r="G28" s="346"/>
      <c r="H28" s="346"/>
      <c r="I28" s="346"/>
      <c r="J28" s="346"/>
      <c r="K28" s="333"/>
      <c r="L28" s="2"/>
      <c r="M28" s="2"/>
      <c r="N28" s="2"/>
      <c r="O28" s="2"/>
      <c r="P28" s="2"/>
      <c r="Q28" s="2"/>
      <c r="R28" s="2"/>
      <c r="S28" s="2"/>
      <c r="T28" s="2"/>
      <c r="U28" s="2"/>
      <c r="V28" s="2"/>
      <c r="W28" s="2"/>
      <c r="X28" s="2"/>
      <c r="Y28" s="2"/>
      <c r="Z28" s="2"/>
    </row>
    <row r="29" ht="12.75" customHeight="1">
      <c r="A29" s="333"/>
      <c r="B29" s="333"/>
      <c r="C29" s="333"/>
      <c r="D29" s="333"/>
      <c r="E29" s="333"/>
      <c r="F29" s="333"/>
      <c r="G29" s="333"/>
      <c r="H29" s="333"/>
      <c r="I29" s="333"/>
      <c r="J29" s="333"/>
      <c r="K29" s="333"/>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1" width="5.57"/>
    <col customWidth="1" min="2" max="2" width="2.71"/>
    <col customWidth="1" min="3" max="3" width="28.0"/>
    <col customWidth="1" min="4" max="4" width="15.71"/>
    <col customWidth="1" min="5" max="5" width="13.0"/>
    <col customWidth="1" min="6" max="6" width="28.0"/>
    <col customWidth="1" min="7" max="7" width="15.29"/>
    <col customWidth="1" min="8" max="8" width="7.29"/>
    <col customWidth="1" min="9" max="9" width="12.0"/>
    <col customWidth="1" min="10" max="11" width="11.29"/>
    <col customWidth="1" min="12" max="13" width="17.29"/>
    <col customWidth="1" min="14" max="14" width="10.0"/>
    <col customWidth="1" min="15" max="22" width="17.29"/>
  </cols>
  <sheetData>
    <row r="1" ht="15.75" customHeight="1">
      <c r="A1" s="27"/>
      <c r="B1" s="27"/>
      <c r="C1" s="27"/>
      <c r="D1" s="27"/>
      <c r="E1" s="27"/>
      <c r="F1" s="27"/>
      <c r="G1" s="27"/>
      <c r="H1" s="27"/>
      <c r="I1" s="27"/>
      <c r="J1" s="2"/>
      <c r="K1" s="2"/>
      <c r="L1" s="2"/>
      <c r="M1" s="2"/>
      <c r="N1" s="2"/>
      <c r="O1" s="2"/>
      <c r="P1" s="2"/>
      <c r="Q1" s="2"/>
      <c r="R1" s="2"/>
      <c r="S1" s="2"/>
      <c r="T1" s="2"/>
      <c r="U1" s="2"/>
      <c r="V1" s="2"/>
    </row>
    <row r="2" ht="15.75" customHeight="1">
      <c r="A2" s="27"/>
      <c r="B2" s="85"/>
      <c r="C2" s="86"/>
      <c r="D2" s="28"/>
      <c r="E2" s="28"/>
      <c r="F2" s="28"/>
      <c r="G2" s="28"/>
      <c r="H2" s="28"/>
      <c r="I2" s="27"/>
      <c r="J2" s="2"/>
      <c r="K2" s="2"/>
      <c r="L2" s="2"/>
      <c r="M2" s="2"/>
      <c r="N2" s="2"/>
      <c r="O2" s="2"/>
      <c r="P2" s="2"/>
      <c r="Q2" s="2"/>
      <c r="R2" s="2"/>
      <c r="S2" s="2"/>
      <c r="T2" s="2"/>
      <c r="U2" s="2"/>
      <c r="V2" s="2"/>
    </row>
    <row r="3" ht="20.25" customHeight="1">
      <c r="A3" s="27"/>
      <c r="B3" s="85"/>
      <c r="C3" s="347" t="s">
        <v>301</v>
      </c>
      <c r="D3" s="28"/>
      <c r="E3" s="28"/>
      <c r="F3" s="28"/>
      <c r="G3" s="28"/>
      <c r="H3" s="28"/>
      <c r="I3" s="27"/>
      <c r="J3" s="2"/>
      <c r="K3" s="2"/>
      <c r="L3" s="2"/>
      <c r="M3" s="2"/>
      <c r="N3" s="2"/>
      <c r="O3" s="2"/>
      <c r="P3" s="2"/>
      <c r="Q3" s="2"/>
      <c r="R3" s="2"/>
      <c r="S3" s="2"/>
      <c r="T3" s="2"/>
      <c r="U3" s="2"/>
      <c r="V3" s="2"/>
    </row>
    <row r="4" ht="15.75" customHeight="1">
      <c r="A4" s="27"/>
      <c r="B4" s="85"/>
      <c r="C4" s="28"/>
      <c r="D4" s="28"/>
      <c r="E4" s="28"/>
      <c r="F4" s="28"/>
      <c r="G4" s="28"/>
      <c r="H4" s="28"/>
      <c r="I4" s="27"/>
      <c r="J4" s="2"/>
      <c r="K4" s="2"/>
      <c r="L4" s="2"/>
      <c r="M4" s="2"/>
      <c r="N4" s="2"/>
      <c r="O4" s="2"/>
      <c r="P4" s="2"/>
      <c r="Q4" s="2"/>
      <c r="R4" s="2"/>
      <c r="S4" s="2"/>
      <c r="T4" s="2"/>
      <c r="U4" s="2"/>
      <c r="V4" s="2"/>
    </row>
    <row r="5" ht="25.5" customHeight="1">
      <c r="A5" s="42"/>
      <c r="B5" s="43"/>
      <c r="C5" s="46" t="s">
        <v>302</v>
      </c>
      <c r="D5" s="46" t="s">
        <v>303</v>
      </c>
      <c r="E5" s="46" t="s">
        <v>304</v>
      </c>
      <c r="F5" s="46" t="s">
        <v>303</v>
      </c>
      <c r="G5" s="46" t="s">
        <v>305</v>
      </c>
      <c r="I5" s="42"/>
      <c r="J5" s="2"/>
      <c r="K5" s="2"/>
      <c r="L5" s="2"/>
      <c r="M5" s="2"/>
      <c r="N5" s="2"/>
      <c r="O5" s="2"/>
      <c r="P5" s="348">
        <f>+D14</f>
        <v>0.35</v>
      </c>
      <c r="Q5" s="349">
        <f>+F7</f>
        <v>45855113.89</v>
      </c>
      <c r="R5" s="350">
        <f>+D12*(1-G12)*F6</f>
        <v>5166342.832</v>
      </c>
      <c r="S5" s="351"/>
      <c r="T5" s="2"/>
      <c r="U5" s="2"/>
      <c r="V5" s="2"/>
    </row>
    <row r="6" ht="12.75" customHeight="1">
      <c r="A6" s="42"/>
      <c r="B6" s="43"/>
      <c r="C6" s="36" t="s">
        <v>290</v>
      </c>
      <c r="D6" s="352">
        <f>'Capital de trabajo'!D21</f>
        <v>17617889.82</v>
      </c>
      <c r="E6" s="36" t="s">
        <v>306</v>
      </c>
      <c r="F6" s="352">
        <f>G6*D10</f>
        <v>30570075.93</v>
      </c>
      <c r="G6" s="353">
        <v>0.4</v>
      </c>
      <c r="H6" s="43"/>
      <c r="I6" s="42"/>
      <c r="J6" s="2"/>
      <c r="K6" s="2"/>
      <c r="L6" s="2"/>
      <c r="M6" s="2"/>
      <c r="N6" s="2"/>
      <c r="O6" s="2"/>
      <c r="P6" s="351"/>
      <c r="Q6" s="349">
        <f>+D10</f>
        <v>76425189.82</v>
      </c>
      <c r="R6" s="349">
        <f>+Q6</f>
        <v>76425189.82</v>
      </c>
      <c r="S6" s="351"/>
      <c r="T6" s="2"/>
      <c r="U6" s="2"/>
      <c r="V6" s="2"/>
    </row>
    <row r="7" ht="13.5" customHeight="1">
      <c r="A7" s="27"/>
      <c r="B7" s="38"/>
      <c r="C7" s="36" t="s">
        <v>307</v>
      </c>
      <c r="D7" s="352">
        <f>'Activo no Corriente'!E14</f>
        <v>47650000</v>
      </c>
      <c r="E7" s="354" t="s">
        <v>308</v>
      </c>
      <c r="F7" s="355">
        <f>D10-F6</f>
        <v>45855113.89</v>
      </c>
      <c r="G7" s="356">
        <f>F7/F10</f>
        <v>0.6</v>
      </c>
      <c r="H7" s="38"/>
      <c r="I7" s="91"/>
      <c r="J7" s="2"/>
      <c r="K7" s="2"/>
      <c r="L7" s="2"/>
      <c r="M7" s="2"/>
      <c r="N7" s="2"/>
      <c r="O7" s="2"/>
      <c r="P7" s="351"/>
      <c r="Q7" s="351"/>
      <c r="R7" s="351"/>
      <c r="S7" s="351"/>
      <c r="T7" s="2"/>
      <c r="U7" s="2"/>
      <c r="V7" s="2"/>
    </row>
    <row r="8" ht="13.5" customHeight="1">
      <c r="A8" s="27"/>
      <c r="B8" s="38"/>
      <c r="C8" s="36" t="s">
        <v>309</v>
      </c>
      <c r="D8" s="352">
        <f>'Activo no Corriente'!E15+'Capital de trabajo'!D7</f>
        <v>11157300</v>
      </c>
      <c r="E8" s="357"/>
      <c r="F8" s="357"/>
      <c r="G8" s="357"/>
      <c r="H8" s="28"/>
      <c r="I8" s="27"/>
      <c r="J8" s="2"/>
      <c r="K8" s="2"/>
      <c r="L8" s="2"/>
      <c r="M8" s="2"/>
      <c r="N8" s="2"/>
      <c r="O8" s="2"/>
      <c r="P8" s="351"/>
      <c r="Q8" s="351"/>
      <c r="R8" s="351"/>
      <c r="S8" s="351"/>
      <c r="T8" s="2"/>
      <c r="U8" s="2"/>
      <c r="V8" s="2"/>
    </row>
    <row r="9" ht="12.75" customHeight="1">
      <c r="A9" s="42"/>
      <c r="B9" s="43"/>
      <c r="C9" s="358"/>
      <c r="D9" s="359"/>
      <c r="E9" s="359"/>
      <c r="F9" s="359"/>
      <c r="G9" s="359"/>
      <c r="H9" s="43"/>
      <c r="I9" s="42"/>
      <c r="J9" s="2"/>
      <c r="K9" s="2"/>
      <c r="L9" s="2"/>
      <c r="M9" s="2"/>
      <c r="N9" s="2"/>
      <c r="O9" s="2"/>
      <c r="P9" s="351"/>
      <c r="Q9" s="360">
        <f>+P5*(Q5/Q6)+(R5/R6)</f>
        <v>0.2776</v>
      </c>
      <c r="R9" s="351"/>
      <c r="S9" s="351"/>
      <c r="T9" s="2"/>
      <c r="U9" s="2"/>
      <c r="V9" s="2"/>
    </row>
    <row r="10" ht="13.5" customHeight="1">
      <c r="A10" s="27"/>
      <c r="B10" s="28"/>
      <c r="C10" s="361" t="s">
        <v>310</v>
      </c>
      <c r="D10" s="362">
        <f>+SUM(D6:D8)</f>
        <v>76425189.82</v>
      </c>
      <c r="E10" s="363" t="s">
        <v>311</v>
      </c>
      <c r="F10" s="362">
        <f>SUM(F6:F9)</f>
        <v>76425189.82</v>
      </c>
      <c r="G10" s="364">
        <f>G7+G6</f>
        <v>1</v>
      </c>
      <c r="H10" s="365"/>
      <c r="I10" s="91"/>
      <c r="J10" s="2"/>
      <c r="K10" s="2"/>
      <c r="L10" s="2"/>
      <c r="M10" s="2"/>
      <c r="N10" s="2"/>
      <c r="O10" s="2"/>
      <c r="P10" s="2"/>
      <c r="Q10" s="2"/>
      <c r="R10" s="2"/>
      <c r="S10" s="2"/>
      <c r="T10" s="2"/>
      <c r="U10" s="2"/>
      <c r="V10" s="2"/>
    </row>
    <row r="11" ht="13.5" customHeight="1">
      <c r="A11" s="27"/>
      <c r="B11" s="28"/>
      <c r="C11" s="38"/>
      <c r="D11" s="366"/>
      <c r="E11" s="38"/>
      <c r="F11" s="367"/>
      <c r="G11" s="38"/>
      <c r="H11" s="38"/>
      <c r="I11" s="91"/>
      <c r="J11" s="2"/>
      <c r="K11" s="2"/>
      <c r="L11" s="2"/>
      <c r="M11" s="2"/>
      <c r="N11" s="2"/>
      <c r="O11" s="2"/>
      <c r="P11" s="2"/>
      <c r="Q11" s="2"/>
      <c r="R11" s="2"/>
      <c r="S11" s="2"/>
      <c r="T11" s="2"/>
      <c r="U11" s="2"/>
      <c r="V11" s="2"/>
    </row>
    <row r="12">
      <c r="A12" s="27"/>
      <c r="B12" s="28"/>
      <c r="C12" s="41" t="s">
        <v>312</v>
      </c>
      <c r="D12" s="368">
        <f>Consideraciones!D6</f>
        <v>0.26</v>
      </c>
      <c r="F12" s="71" t="s">
        <v>313</v>
      </c>
      <c r="G12" s="368">
        <f>+Consideraciones!D17</f>
        <v>0.35</v>
      </c>
      <c r="H12" s="28"/>
      <c r="I12" s="27"/>
      <c r="J12" s="2"/>
      <c r="K12" s="2"/>
      <c r="L12" s="2"/>
      <c r="M12" s="2"/>
      <c r="N12" s="2"/>
      <c r="O12" s="2"/>
      <c r="P12" s="2"/>
      <c r="Q12" s="2"/>
      <c r="R12" s="2"/>
      <c r="S12" s="2"/>
      <c r="T12" s="2"/>
      <c r="U12" s="2"/>
      <c r="V12" s="2"/>
    </row>
    <row r="13" ht="15.75" customHeight="1">
      <c r="A13" s="27"/>
      <c r="B13" s="28"/>
      <c r="C13" s="38"/>
      <c r="D13" s="38"/>
      <c r="F13" s="38"/>
      <c r="G13" s="38"/>
      <c r="H13" s="38"/>
      <c r="I13" s="27"/>
      <c r="J13" s="2"/>
      <c r="K13" s="2"/>
      <c r="L13" s="2"/>
      <c r="M13" s="2"/>
      <c r="N13" s="2"/>
      <c r="O13" s="2"/>
      <c r="P13" s="2"/>
      <c r="Q13" s="2"/>
      <c r="R13" s="2"/>
      <c r="S13" s="2"/>
      <c r="T13" s="2"/>
      <c r="U13" s="2"/>
      <c r="V13" s="2"/>
    </row>
    <row r="14" ht="12.75" customHeight="1">
      <c r="A14" s="27"/>
      <c r="B14" s="28"/>
      <c r="C14" s="369" t="s">
        <v>314</v>
      </c>
      <c r="D14" s="37">
        <f>Consideraciones!D7</f>
        <v>0.35</v>
      </c>
      <c r="E14" s="38"/>
      <c r="G14" s="38"/>
      <c r="H14" s="38"/>
      <c r="I14" s="27"/>
      <c r="J14" s="2"/>
      <c r="K14" s="2"/>
      <c r="L14" s="2"/>
      <c r="M14" s="2"/>
      <c r="N14" s="2"/>
      <c r="O14" s="2"/>
      <c r="P14" s="2"/>
      <c r="Q14" s="2"/>
      <c r="R14" s="2"/>
      <c r="S14" s="2"/>
      <c r="T14" s="2"/>
      <c r="U14" s="2"/>
      <c r="V14" s="2"/>
    </row>
    <row r="15" ht="15.75" customHeight="1">
      <c r="A15" s="27"/>
      <c r="B15" s="28"/>
      <c r="C15" s="28"/>
      <c r="D15" s="28"/>
      <c r="E15" s="28"/>
      <c r="H15" s="28"/>
      <c r="I15" s="27"/>
      <c r="J15" s="2"/>
      <c r="K15" s="2"/>
      <c r="L15" s="2"/>
      <c r="M15" s="2"/>
      <c r="N15" s="2"/>
      <c r="O15" s="2"/>
      <c r="P15" s="2"/>
      <c r="Q15" s="2"/>
      <c r="R15" s="2"/>
      <c r="S15" s="2"/>
      <c r="T15" s="2"/>
      <c r="U15" s="2"/>
      <c r="V15" s="2"/>
    </row>
    <row r="16" ht="21.75" customHeight="1">
      <c r="A16" s="27"/>
      <c r="B16" s="28"/>
      <c r="C16" s="347" t="s">
        <v>315</v>
      </c>
      <c r="D16" s="28"/>
      <c r="E16" s="28"/>
      <c r="F16" s="2"/>
      <c r="G16" s="2"/>
      <c r="H16" s="28"/>
      <c r="I16" s="27"/>
      <c r="J16" s="2"/>
      <c r="K16" s="2"/>
      <c r="L16" s="2"/>
      <c r="M16" s="2"/>
      <c r="N16" s="2"/>
      <c r="O16" s="2"/>
      <c r="P16" s="2"/>
      <c r="Q16" s="2"/>
      <c r="R16" s="2"/>
      <c r="S16" s="2"/>
      <c r="T16" s="2"/>
      <c r="U16" s="2"/>
      <c r="V16" s="2"/>
      <c r="W16" s="2"/>
      <c r="X16" s="2"/>
      <c r="Y16" s="2"/>
      <c r="Z16" s="2"/>
    </row>
    <row r="17" ht="15.75" customHeight="1">
      <c r="A17" s="27"/>
      <c r="B17" s="28"/>
      <c r="C17" s="28"/>
      <c r="D17" s="28"/>
      <c r="E17" s="28"/>
      <c r="F17" s="2"/>
      <c r="G17" s="2"/>
      <c r="H17" s="28"/>
      <c r="I17" s="27"/>
      <c r="J17" s="2"/>
      <c r="K17" s="2"/>
      <c r="L17" s="2"/>
      <c r="M17" s="2"/>
      <c r="N17" s="2"/>
      <c r="O17" s="2"/>
      <c r="P17" s="2"/>
      <c r="Q17" s="2"/>
      <c r="R17" s="2"/>
      <c r="S17" s="2"/>
      <c r="T17" s="2"/>
      <c r="U17" s="2"/>
      <c r="V17" s="2"/>
      <c r="W17" s="2"/>
      <c r="X17" s="2"/>
      <c r="Y17" s="2"/>
      <c r="Z17" s="2"/>
    </row>
    <row r="18" ht="15.75" customHeight="1">
      <c r="A18" s="27"/>
      <c r="B18" s="28"/>
      <c r="C18" s="190" t="s">
        <v>316</v>
      </c>
      <c r="D18" s="37">
        <f>$D$26</f>
        <v>0.2776</v>
      </c>
      <c r="E18" s="28"/>
      <c r="F18" s="2"/>
      <c r="G18" s="2"/>
      <c r="H18" s="28"/>
      <c r="I18" s="27"/>
      <c r="J18" s="2"/>
      <c r="K18" s="2"/>
      <c r="L18" s="2"/>
      <c r="M18" s="2"/>
      <c r="N18" s="2"/>
      <c r="O18" s="2"/>
      <c r="P18" s="2"/>
      <c r="Q18" s="2"/>
      <c r="R18" s="2"/>
      <c r="S18" s="2"/>
      <c r="T18" s="2"/>
      <c r="U18" s="2"/>
      <c r="V18" s="2"/>
      <c r="W18" s="2"/>
      <c r="X18" s="2"/>
      <c r="Y18" s="2"/>
      <c r="Z18" s="2"/>
    </row>
    <row r="19" ht="15.75" customHeight="1">
      <c r="A19" s="27"/>
      <c r="B19" s="28"/>
      <c r="C19" s="28"/>
      <c r="D19" s="28"/>
      <c r="E19" s="28"/>
      <c r="F19" s="2"/>
      <c r="G19" s="2"/>
      <c r="H19" s="28"/>
      <c r="I19" s="27"/>
      <c r="J19" s="2"/>
      <c r="K19" s="2"/>
      <c r="L19" s="2"/>
      <c r="M19" s="2"/>
      <c r="N19" s="2"/>
      <c r="O19" s="2"/>
      <c r="P19" s="2"/>
      <c r="Q19" s="2"/>
      <c r="R19" s="2"/>
      <c r="S19" s="2"/>
      <c r="T19" s="2"/>
      <c r="U19" s="2"/>
      <c r="V19" s="2"/>
      <c r="W19" s="2"/>
      <c r="X19" s="2"/>
      <c r="Y19" s="2"/>
      <c r="Z19" s="2"/>
    </row>
    <row r="20" ht="12.75" customHeight="1">
      <c r="A20" s="27"/>
      <c r="B20" s="28"/>
      <c r="E20" s="38"/>
      <c r="F20" s="38"/>
      <c r="G20" s="28"/>
      <c r="H20" s="28"/>
      <c r="I20" s="27"/>
      <c r="J20" s="2"/>
      <c r="K20" s="2"/>
      <c r="L20" s="2"/>
      <c r="M20" s="2"/>
      <c r="N20" s="2"/>
      <c r="O20" s="2"/>
      <c r="P20" s="2"/>
      <c r="Q20" s="2"/>
      <c r="R20" s="2"/>
      <c r="S20" s="2"/>
      <c r="T20" s="2"/>
      <c r="U20" s="2"/>
      <c r="V20" s="2"/>
    </row>
    <row r="21" ht="12.75" customHeight="1">
      <c r="A21" s="27"/>
      <c r="B21" s="28"/>
      <c r="C21" s="370" t="s">
        <v>317</v>
      </c>
      <c r="D21" s="2"/>
      <c r="E21" s="38"/>
      <c r="F21" s="38"/>
      <c r="G21" s="28"/>
      <c r="H21" s="28"/>
      <c r="I21" s="27"/>
      <c r="J21" s="2"/>
      <c r="K21" s="2"/>
      <c r="L21" s="2"/>
      <c r="M21" s="2"/>
      <c r="N21" s="2"/>
      <c r="O21" s="2"/>
      <c r="P21" s="2"/>
      <c r="Q21" s="2"/>
      <c r="R21" s="2"/>
      <c r="S21" s="2"/>
      <c r="T21" s="2"/>
      <c r="U21" s="2"/>
      <c r="V21" s="2"/>
      <c r="W21" s="2"/>
      <c r="X21" s="2"/>
      <c r="Y21" s="2"/>
      <c r="Z21" s="2"/>
    </row>
    <row r="22" ht="12.75" customHeight="1">
      <c r="A22" s="27"/>
      <c r="B22" s="28"/>
      <c r="C22" s="371"/>
      <c r="D22" s="371"/>
      <c r="E22" s="372"/>
      <c r="F22" s="372"/>
      <c r="G22" s="373"/>
      <c r="H22" s="28"/>
      <c r="I22" s="27"/>
      <c r="J22" s="2"/>
      <c r="K22" s="2"/>
      <c r="L22" s="2"/>
      <c r="M22" s="2"/>
      <c r="N22" s="2"/>
      <c r="O22" s="2"/>
      <c r="P22" s="2"/>
      <c r="Q22" s="2"/>
      <c r="R22" s="2"/>
      <c r="S22" s="2"/>
      <c r="T22" s="2"/>
      <c r="U22" s="2"/>
      <c r="V22" s="2"/>
      <c r="W22" s="2"/>
      <c r="X22" s="2"/>
      <c r="Y22" s="2"/>
      <c r="Z22" s="2"/>
    </row>
    <row r="23" ht="12.75" customHeight="1">
      <c r="A23" s="27"/>
      <c r="B23" s="28"/>
      <c r="C23" s="374"/>
      <c r="E23" s="375" t="s">
        <v>318</v>
      </c>
      <c r="F23" s="374" t="str">
        <f>"PN= $"&amp; $F$7</f>
        <v>PN= $45855113,8896</v>
      </c>
      <c r="G23" s="376"/>
      <c r="H23" s="28"/>
      <c r="I23" s="27"/>
      <c r="J23" s="2"/>
      <c r="K23" s="2"/>
      <c r="L23" s="2"/>
      <c r="M23" s="2"/>
      <c r="N23" s="2"/>
      <c r="O23" s="2"/>
      <c r="P23" s="2"/>
      <c r="Q23" s="2"/>
      <c r="R23" s="2"/>
      <c r="S23" s="2"/>
      <c r="T23" s="2"/>
      <c r="U23" s="2"/>
      <c r="V23" s="2"/>
      <c r="W23" s="2"/>
      <c r="X23" s="2"/>
      <c r="Y23" s="2"/>
      <c r="Z23" s="2"/>
    </row>
    <row r="24" ht="12.75" customHeight="1">
      <c r="A24" s="27"/>
      <c r="B24" s="28"/>
      <c r="C24" s="374"/>
      <c r="D24" s="374"/>
      <c r="E24" s="377" t="s">
        <v>319</v>
      </c>
      <c r="F24" s="374" t="str">
        <f>"D= $"&amp; $F$6</f>
        <v>D= $30570075,9264</v>
      </c>
      <c r="G24" s="378"/>
      <c r="H24" s="28"/>
      <c r="I24" s="27"/>
      <c r="J24" s="2"/>
      <c r="K24" s="2"/>
      <c r="L24" s="2"/>
      <c r="M24" s="2"/>
      <c r="N24" s="2"/>
      <c r="O24" s="2"/>
      <c r="P24" s="2"/>
      <c r="Q24" s="2"/>
      <c r="R24" s="2"/>
      <c r="S24" s="2"/>
      <c r="T24" s="2"/>
      <c r="U24" s="2"/>
      <c r="V24" s="2"/>
      <c r="W24" s="2"/>
      <c r="X24" s="2"/>
      <c r="Y24" s="2"/>
      <c r="Z24" s="2"/>
    </row>
    <row r="25" ht="12.75" customHeight="1">
      <c r="A25" s="27"/>
      <c r="B25" s="28"/>
      <c r="C25" s="374"/>
      <c r="D25" s="374"/>
      <c r="E25" s="374" t="s">
        <v>320</v>
      </c>
      <c r="F25" s="374"/>
      <c r="G25" s="376"/>
      <c r="H25" s="28"/>
      <c r="I25" s="27"/>
      <c r="J25" s="2"/>
      <c r="K25" s="2"/>
      <c r="L25" s="2"/>
      <c r="M25" s="2"/>
      <c r="N25" s="2"/>
      <c r="O25" s="2"/>
      <c r="P25" s="2"/>
      <c r="Q25" s="2"/>
      <c r="R25" s="2"/>
      <c r="S25" s="2"/>
      <c r="T25" s="2"/>
      <c r="U25" s="2"/>
      <c r="V25" s="2"/>
      <c r="W25" s="2"/>
      <c r="X25" s="2"/>
      <c r="Y25" s="2"/>
      <c r="Z25" s="2"/>
    </row>
    <row r="26" ht="12.75" customHeight="1">
      <c r="A26" s="27"/>
      <c r="B26" s="28"/>
      <c r="C26" s="374" t="s">
        <v>321</v>
      </c>
      <c r="D26" s="379">
        <f>D14*(F7/(F7+F6))+D12*(1-G12)*(F6/(F7+F6))</f>
        <v>0.2776</v>
      </c>
      <c r="E26" s="380"/>
      <c r="F26" s="380"/>
      <c r="G26" s="376"/>
      <c r="H26" s="28"/>
      <c r="I26" s="27"/>
      <c r="J26" s="2"/>
      <c r="K26" s="2"/>
      <c r="L26" s="2"/>
      <c r="M26" s="2"/>
      <c r="N26" s="2"/>
      <c r="O26" s="2"/>
      <c r="P26" s="2"/>
      <c r="Q26" s="2"/>
      <c r="R26" s="2"/>
      <c r="S26" s="2"/>
      <c r="T26" s="2"/>
      <c r="U26" s="2"/>
      <c r="V26" s="2"/>
      <c r="W26" s="2"/>
      <c r="X26" s="2"/>
      <c r="Y26" s="2"/>
      <c r="Z26" s="2"/>
    </row>
    <row r="27" ht="15.75" customHeight="1">
      <c r="A27" s="27"/>
      <c r="B27" s="28"/>
      <c r="C27" s="380"/>
      <c r="D27" s="381"/>
      <c r="E27" s="380"/>
      <c r="F27" s="380"/>
      <c r="G27" s="376"/>
      <c r="H27" s="28"/>
      <c r="I27" s="27"/>
      <c r="J27" s="2"/>
      <c r="K27" s="2"/>
      <c r="L27" s="2"/>
      <c r="M27" s="2"/>
      <c r="N27" s="2"/>
      <c r="O27" s="2"/>
      <c r="P27" s="2"/>
      <c r="Q27" s="2"/>
      <c r="R27" s="2"/>
      <c r="S27" s="2"/>
      <c r="T27" s="2"/>
      <c r="U27" s="2"/>
      <c r="V27" s="2"/>
    </row>
    <row r="28" ht="15.75" customHeight="1">
      <c r="A28" s="27"/>
      <c r="B28" s="28"/>
      <c r="C28" s="38"/>
      <c r="D28" s="382"/>
      <c r="E28" s="38"/>
      <c r="F28" s="38"/>
      <c r="G28" s="28"/>
      <c r="H28" s="28"/>
      <c r="I28" s="27"/>
      <c r="J28" s="2"/>
      <c r="K28" s="2"/>
      <c r="L28" s="2"/>
      <c r="M28" s="2"/>
      <c r="N28" s="2"/>
      <c r="O28" s="2"/>
      <c r="P28" s="2"/>
      <c r="Q28" s="2"/>
      <c r="R28" s="2"/>
      <c r="S28" s="2"/>
      <c r="T28" s="2"/>
      <c r="U28" s="2"/>
      <c r="V28" s="2"/>
      <c r="W28" s="2"/>
      <c r="X28" s="2"/>
      <c r="Y28" s="2"/>
      <c r="Z28" s="2"/>
    </row>
    <row r="29" ht="15.75" customHeight="1">
      <c r="A29" s="27"/>
      <c r="B29" s="27"/>
      <c r="C29" s="27"/>
      <c r="D29" s="27"/>
      <c r="E29" s="27"/>
      <c r="F29" s="27"/>
      <c r="G29" s="27"/>
      <c r="H29" s="27"/>
      <c r="I29" s="27"/>
      <c r="J29" s="2"/>
      <c r="K29" s="2"/>
      <c r="L29" s="2"/>
      <c r="M29" s="2"/>
      <c r="N29" s="2"/>
      <c r="O29" s="2"/>
      <c r="P29" s="2"/>
      <c r="Q29" s="2"/>
      <c r="R29" s="2"/>
      <c r="S29" s="2"/>
      <c r="T29" s="2"/>
      <c r="U29" s="2"/>
      <c r="V29" s="2"/>
    </row>
    <row r="30" ht="15.75" customHeight="1">
      <c r="A30" s="2"/>
      <c r="B30" s="2"/>
      <c r="C30" s="2"/>
      <c r="D30" s="2"/>
      <c r="E30" s="2"/>
      <c r="F30" s="2"/>
      <c r="G30" s="2"/>
      <c r="H30" s="2"/>
      <c r="I30" s="2"/>
      <c r="J30" s="2"/>
      <c r="K30" s="2"/>
      <c r="L30" s="2"/>
      <c r="M30" s="2"/>
      <c r="N30" s="2"/>
      <c r="O30" s="2"/>
      <c r="P30" s="2"/>
      <c r="Q30" s="2"/>
      <c r="R30" s="2"/>
      <c r="S30" s="2"/>
      <c r="T30" s="2"/>
      <c r="U30" s="2"/>
      <c r="V30" s="2"/>
    </row>
    <row r="31" ht="15.75" customHeight="1">
      <c r="A31" s="2"/>
      <c r="B31" s="2"/>
      <c r="C31" s="2"/>
      <c r="D31" s="2"/>
      <c r="E31" s="2"/>
      <c r="F31" s="2"/>
      <c r="G31" s="2"/>
      <c r="H31" s="2"/>
      <c r="I31" s="2"/>
      <c r="J31" s="2"/>
      <c r="K31" s="2"/>
      <c r="L31" s="2"/>
      <c r="M31" s="2"/>
      <c r="N31" s="2"/>
      <c r="O31" s="2"/>
      <c r="P31" s="2"/>
      <c r="Q31" s="2"/>
      <c r="R31" s="2"/>
      <c r="S31" s="2"/>
      <c r="T31" s="2"/>
      <c r="U31" s="2"/>
      <c r="V31" s="2"/>
    </row>
    <row r="32" ht="15.75" customHeight="1">
      <c r="A32" s="2"/>
      <c r="B32" s="2"/>
      <c r="C32" s="2"/>
      <c r="D32" s="2"/>
      <c r="E32" s="2"/>
      <c r="F32" s="2"/>
      <c r="G32" s="2"/>
      <c r="H32" s="2"/>
      <c r="I32" s="2"/>
      <c r="J32" s="2"/>
      <c r="K32" s="2"/>
      <c r="L32" s="2"/>
      <c r="M32" s="2"/>
      <c r="N32" s="2"/>
      <c r="O32" s="2"/>
      <c r="P32" s="2"/>
      <c r="Q32" s="2"/>
      <c r="R32" s="2"/>
      <c r="S32" s="2"/>
      <c r="T32" s="2"/>
      <c r="U32" s="2"/>
      <c r="V32" s="2"/>
    </row>
    <row r="33" ht="15.75" customHeight="1">
      <c r="A33" s="2"/>
      <c r="B33" s="2"/>
      <c r="C33" s="2"/>
      <c r="D33" s="2"/>
      <c r="E33" s="2"/>
      <c r="F33" s="2"/>
      <c r="G33" s="2"/>
      <c r="H33" s="2"/>
      <c r="I33" s="2"/>
      <c r="J33" s="2"/>
      <c r="K33" s="2"/>
      <c r="L33" s="2"/>
      <c r="M33" s="2"/>
      <c r="N33" s="2"/>
      <c r="O33" s="2"/>
      <c r="P33" s="2"/>
      <c r="Q33" s="2"/>
      <c r="R33" s="2"/>
      <c r="S33" s="2"/>
      <c r="T33" s="2"/>
      <c r="U33" s="2"/>
      <c r="V33" s="2"/>
    </row>
    <row r="34" ht="15.75" customHeight="1">
      <c r="A34" s="2"/>
      <c r="B34" s="2"/>
      <c r="C34" s="2"/>
      <c r="D34" s="2"/>
      <c r="E34" s="2"/>
      <c r="F34" s="2"/>
      <c r="G34" s="2"/>
      <c r="H34" s="2"/>
      <c r="I34" s="2"/>
      <c r="J34" s="2"/>
      <c r="K34" s="2"/>
      <c r="L34" s="2"/>
      <c r="M34" s="2"/>
      <c r="N34" s="2"/>
      <c r="O34" s="2"/>
      <c r="P34" s="2"/>
      <c r="Q34" s="2"/>
      <c r="R34" s="2"/>
      <c r="S34" s="2"/>
      <c r="T34" s="2"/>
      <c r="U34" s="2"/>
      <c r="V34" s="2"/>
    </row>
    <row r="35" ht="15.75" customHeight="1">
      <c r="A35" s="2"/>
      <c r="B35" s="2"/>
      <c r="C35" s="2"/>
      <c r="D35" s="2"/>
      <c r="E35" s="2"/>
      <c r="F35" s="2"/>
      <c r="G35" s="2"/>
      <c r="H35" s="2"/>
      <c r="I35" s="2"/>
      <c r="J35" s="2"/>
      <c r="K35" s="2"/>
      <c r="L35" s="2"/>
      <c r="M35" s="2"/>
      <c r="N35" s="2"/>
      <c r="O35" s="2"/>
      <c r="P35" s="2"/>
      <c r="Q35" s="2"/>
      <c r="R35" s="2"/>
      <c r="S35" s="2"/>
      <c r="T35" s="2"/>
      <c r="U35" s="2"/>
      <c r="V35" s="2"/>
    </row>
    <row r="36" ht="15.75" customHeight="1">
      <c r="A36" s="2"/>
      <c r="B36" s="2"/>
      <c r="C36" s="2"/>
      <c r="D36" s="2"/>
      <c r="E36" s="2"/>
      <c r="F36" s="2"/>
      <c r="G36" s="2"/>
      <c r="H36" s="2"/>
      <c r="I36" s="2"/>
      <c r="J36" s="2"/>
      <c r="K36" s="2"/>
      <c r="L36" s="2"/>
      <c r="M36" s="2"/>
      <c r="N36" s="2"/>
      <c r="O36" s="2"/>
      <c r="P36" s="2"/>
      <c r="Q36" s="2"/>
      <c r="R36" s="2"/>
      <c r="S36" s="2"/>
      <c r="T36" s="2"/>
      <c r="U36" s="2"/>
      <c r="V36" s="2"/>
    </row>
    <row r="37" ht="15.75" customHeight="1">
      <c r="A37" s="2"/>
      <c r="B37" s="2"/>
      <c r="C37" s="2"/>
      <c r="D37" s="2"/>
      <c r="E37" s="2"/>
      <c r="F37" s="2"/>
      <c r="G37" s="2"/>
      <c r="H37" s="2"/>
      <c r="I37" s="2"/>
      <c r="J37" s="2"/>
      <c r="K37" s="2"/>
      <c r="L37" s="2"/>
      <c r="M37" s="2"/>
      <c r="N37" s="2"/>
      <c r="O37" s="2"/>
      <c r="P37" s="2"/>
      <c r="Q37" s="2"/>
      <c r="R37" s="2"/>
      <c r="S37" s="2"/>
      <c r="T37" s="2"/>
      <c r="U37" s="2"/>
      <c r="V37" s="2"/>
    </row>
    <row r="38" ht="15.75" customHeight="1">
      <c r="A38" s="2"/>
      <c r="B38" s="2"/>
      <c r="C38" s="2"/>
      <c r="D38" s="2"/>
      <c r="E38" s="2"/>
      <c r="F38" s="2"/>
      <c r="G38" s="2"/>
      <c r="H38" s="2"/>
      <c r="I38" s="2"/>
      <c r="J38" s="2"/>
      <c r="K38" s="2"/>
      <c r="L38" s="2"/>
      <c r="M38" s="2"/>
      <c r="N38" s="2"/>
      <c r="O38" s="2"/>
      <c r="P38" s="2"/>
      <c r="Q38" s="2"/>
      <c r="R38" s="2"/>
      <c r="S38" s="2"/>
      <c r="T38" s="2"/>
      <c r="U38" s="2"/>
      <c r="V38" s="2"/>
    </row>
    <row r="39" ht="15.75" customHeight="1">
      <c r="A39" s="2"/>
      <c r="B39" s="2"/>
      <c r="C39" s="2"/>
      <c r="D39" s="2"/>
      <c r="E39" s="2"/>
      <c r="F39" s="2"/>
      <c r="G39" s="2"/>
      <c r="H39" s="2"/>
      <c r="I39" s="2"/>
      <c r="J39" s="2"/>
      <c r="K39" s="2"/>
      <c r="L39" s="2"/>
      <c r="M39" s="2"/>
      <c r="N39" s="2"/>
      <c r="O39" s="2"/>
      <c r="P39" s="2"/>
      <c r="Q39" s="2"/>
      <c r="R39" s="2"/>
      <c r="S39" s="2"/>
      <c r="T39" s="2"/>
      <c r="U39" s="2"/>
      <c r="V39" s="2"/>
    </row>
    <row r="40" ht="15.75" customHeight="1">
      <c r="A40" s="2"/>
      <c r="B40" s="2"/>
      <c r="C40" s="2"/>
      <c r="D40" s="2"/>
      <c r="E40" s="2"/>
      <c r="F40" s="2"/>
      <c r="G40" s="2"/>
      <c r="H40" s="2"/>
      <c r="I40" s="2"/>
      <c r="J40" s="2"/>
      <c r="K40" s="2"/>
      <c r="L40" s="2"/>
      <c r="M40" s="2"/>
      <c r="N40" s="2"/>
      <c r="O40" s="2"/>
      <c r="P40" s="2"/>
      <c r="Q40" s="2"/>
      <c r="R40" s="2"/>
      <c r="S40" s="2"/>
      <c r="T40" s="2"/>
      <c r="U40" s="2"/>
      <c r="V40" s="2"/>
    </row>
    <row r="41" ht="15.75" customHeight="1">
      <c r="A41" s="2"/>
      <c r="B41" s="2"/>
      <c r="C41" s="2"/>
      <c r="D41" s="2"/>
      <c r="E41" s="2"/>
      <c r="F41" s="2"/>
      <c r="G41" s="2"/>
      <c r="H41" s="2"/>
      <c r="I41" s="2"/>
      <c r="J41" s="2"/>
      <c r="K41" s="2"/>
      <c r="L41" s="2"/>
      <c r="M41" s="2"/>
      <c r="N41" s="2"/>
      <c r="O41" s="2"/>
      <c r="P41" s="2"/>
      <c r="Q41" s="2"/>
      <c r="R41" s="2"/>
      <c r="S41" s="2"/>
      <c r="T41" s="2"/>
      <c r="U41" s="2"/>
      <c r="V41" s="2"/>
    </row>
    <row r="42" ht="15.75" customHeight="1">
      <c r="A42" s="2"/>
      <c r="B42" s="2"/>
      <c r="C42" s="2"/>
      <c r="D42" s="2"/>
      <c r="E42" s="2"/>
      <c r="F42" s="2"/>
      <c r="G42" s="2"/>
      <c r="H42" s="2"/>
      <c r="I42" s="2"/>
      <c r="J42" s="2"/>
      <c r="K42" s="2"/>
      <c r="L42" s="2"/>
      <c r="M42" s="2"/>
      <c r="N42" s="2"/>
      <c r="O42" s="2"/>
      <c r="P42" s="2"/>
      <c r="Q42" s="2"/>
      <c r="R42" s="2"/>
      <c r="S42" s="2"/>
      <c r="T42" s="2"/>
      <c r="U42" s="2"/>
      <c r="V42" s="2"/>
    </row>
    <row r="43" ht="15.75" customHeight="1">
      <c r="A43" s="2"/>
      <c r="B43" s="2"/>
      <c r="C43" s="2"/>
      <c r="D43" s="2"/>
      <c r="E43" s="2"/>
      <c r="F43" s="2"/>
      <c r="G43" s="2"/>
      <c r="H43" s="2"/>
      <c r="I43" s="2"/>
      <c r="J43" s="2"/>
      <c r="K43" s="2"/>
      <c r="L43" s="2"/>
      <c r="M43" s="2"/>
      <c r="N43" s="2"/>
      <c r="O43" s="2"/>
      <c r="P43" s="2"/>
      <c r="Q43" s="2"/>
      <c r="R43" s="2"/>
      <c r="S43" s="2"/>
      <c r="T43" s="2"/>
      <c r="U43" s="2"/>
      <c r="V43" s="2"/>
    </row>
    <row r="44" ht="15.75" customHeight="1">
      <c r="A44" s="2"/>
      <c r="B44" s="2"/>
      <c r="C44" s="2"/>
      <c r="D44" s="2"/>
      <c r="E44" s="2"/>
      <c r="F44" s="2"/>
      <c r="G44" s="2"/>
      <c r="H44" s="2"/>
      <c r="I44" s="2"/>
      <c r="J44" s="2"/>
      <c r="K44" s="2"/>
      <c r="L44" s="2"/>
      <c r="M44" s="2"/>
      <c r="N44" s="2"/>
      <c r="O44" s="2"/>
      <c r="P44" s="2"/>
      <c r="Q44" s="2"/>
      <c r="R44" s="2"/>
      <c r="S44" s="2"/>
      <c r="T44" s="2"/>
      <c r="U44" s="2"/>
      <c r="V44" s="2"/>
    </row>
    <row r="45" ht="15.75" customHeight="1">
      <c r="A45" s="2"/>
      <c r="B45" s="2"/>
      <c r="C45" s="2"/>
      <c r="D45" s="2"/>
      <c r="E45" s="2"/>
      <c r="F45" s="2"/>
      <c r="G45" s="2"/>
      <c r="H45" s="2"/>
      <c r="I45" s="2"/>
      <c r="J45" s="2"/>
      <c r="K45" s="2"/>
      <c r="L45" s="2"/>
      <c r="M45" s="2"/>
      <c r="N45" s="2"/>
      <c r="O45" s="2"/>
      <c r="P45" s="2"/>
      <c r="Q45" s="2"/>
      <c r="R45" s="2"/>
      <c r="S45" s="2"/>
      <c r="T45" s="2"/>
      <c r="U45" s="2"/>
      <c r="V45" s="2"/>
    </row>
    <row r="46" ht="15.75" customHeight="1">
      <c r="A46" s="2"/>
      <c r="B46" s="2"/>
      <c r="C46" s="2"/>
      <c r="D46" s="2"/>
      <c r="E46" s="2"/>
      <c r="F46" s="2"/>
      <c r="G46" s="2"/>
      <c r="H46" s="2"/>
      <c r="I46" s="2"/>
      <c r="J46" s="2"/>
      <c r="K46" s="2"/>
      <c r="L46" s="2"/>
      <c r="M46" s="2"/>
      <c r="N46" s="2"/>
      <c r="O46" s="2"/>
      <c r="P46" s="2"/>
      <c r="Q46" s="2"/>
      <c r="R46" s="2"/>
      <c r="S46" s="2"/>
      <c r="T46" s="2"/>
      <c r="U46" s="2"/>
      <c r="V46" s="2"/>
    </row>
    <row r="47" ht="15.75" customHeight="1">
      <c r="A47" s="2"/>
      <c r="B47" s="2"/>
      <c r="C47" s="2"/>
      <c r="D47" s="2"/>
      <c r="E47" s="2"/>
      <c r="F47" s="2"/>
      <c r="G47" s="2"/>
      <c r="H47" s="2"/>
      <c r="I47" s="2"/>
      <c r="J47" s="2"/>
      <c r="K47" s="2"/>
      <c r="L47" s="2"/>
      <c r="M47" s="2"/>
      <c r="N47" s="2"/>
      <c r="O47" s="2"/>
      <c r="P47" s="2"/>
      <c r="Q47" s="2"/>
      <c r="R47" s="2"/>
      <c r="S47" s="2"/>
      <c r="T47" s="2"/>
      <c r="U47" s="2"/>
      <c r="V47" s="2"/>
    </row>
    <row r="48" ht="15.75" customHeight="1">
      <c r="A48" s="2"/>
      <c r="B48" s="2"/>
      <c r="C48" s="2"/>
      <c r="D48" s="2"/>
      <c r="E48" s="2"/>
      <c r="F48" s="2"/>
      <c r="G48" s="2"/>
      <c r="H48" s="2"/>
      <c r="I48" s="2"/>
      <c r="J48" s="2"/>
      <c r="K48" s="2"/>
      <c r="L48" s="2"/>
      <c r="M48" s="2"/>
      <c r="N48" s="2"/>
      <c r="O48" s="2"/>
      <c r="P48" s="2"/>
      <c r="Q48" s="2"/>
      <c r="R48" s="2"/>
      <c r="S48" s="2"/>
      <c r="T48" s="2"/>
      <c r="U48" s="2"/>
      <c r="V48" s="2"/>
    </row>
    <row r="49" ht="15.75" customHeight="1">
      <c r="A49" s="2"/>
      <c r="B49" s="2"/>
      <c r="C49" s="2"/>
      <c r="D49" s="2"/>
      <c r="E49" s="2"/>
      <c r="F49" s="2"/>
      <c r="G49" s="2"/>
      <c r="H49" s="2"/>
      <c r="I49" s="2"/>
      <c r="J49" s="2"/>
      <c r="K49" s="2"/>
      <c r="L49" s="2"/>
      <c r="M49" s="2"/>
      <c r="N49" s="2"/>
      <c r="O49" s="2"/>
      <c r="P49" s="2"/>
      <c r="Q49" s="2"/>
      <c r="R49" s="2"/>
      <c r="S49" s="2"/>
      <c r="T49" s="2"/>
      <c r="U49" s="2"/>
      <c r="V49" s="2"/>
    </row>
    <row r="50" ht="15.75" customHeight="1">
      <c r="A50" s="2"/>
      <c r="B50" s="2"/>
      <c r="C50" s="2"/>
      <c r="D50" s="2"/>
      <c r="E50" s="2"/>
      <c r="F50" s="2"/>
      <c r="G50" s="2"/>
      <c r="H50" s="2"/>
      <c r="I50" s="2"/>
      <c r="J50" s="2"/>
      <c r="K50" s="2"/>
      <c r="L50" s="2"/>
      <c r="M50" s="2"/>
      <c r="N50" s="2"/>
      <c r="O50" s="2"/>
      <c r="P50" s="2"/>
      <c r="Q50" s="2"/>
      <c r="R50" s="2"/>
      <c r="S50" s="2"/>
      <c r="T50" s="2"/>
      <c r="U50" s="2"/>
      <c r="V50" s="2"/>
    </row>
    <row r="51" ht="15.75" customHeight="1">
      <c r="A51" s="2"/>
      <c r="B51" s="2"/>
      <c r="C51" s="2"/>
      <c r="D51" s="2"/>
      <c r="E51" s="2"/>
      <c r="F51" s="2"/>
      <c r="G51" s="2"/>
      <c r="H51" s="2"/>
      <c r="I51" s="2"/>
      <c r="J51" s="2"/>
      <c r="K51" s="2"/>
      <c r="L51" s="2"/>
      <c r="M51" s="2"/>
      <c r="N51" s="2"/>
      <c r="O51" s="2"/>
      <c r="P51" s="2"/>
      <c r="Q51" s="2"/>
      <c r="R51" s="2"/>
      <c r="S51" s="2"/>
      <c r="T51" s="2"/>
      <c r="U51" s="2"/>
      <c r="V51" s="2"/>
    </row>
    <row r="52" ht="15.75" customHeight="1">
      <c r="A52" s="2"/>
      <c r="B52" s="2"/>
      <c r="C52" s="2"/>
      <c r="D52" s="2"/>
      <c r="E52" s="2"/>
      <c r="F52" s="2"/>
      <c r="G52" s="2"/>
      <c r="H52" s="2"/>
      <c r="I52" s="2"/>
      <c r="J52" s="2"/>
      <c r="K52" s="2"/>
      <c r="L52" s="2"/>
      <c r="M52" s="2"/>
      <c r="N52" s="2"/>
      <c r="O52" s="2"/>
      <c r="P52" s="2"/>
      <c r="Q52" s="2"/>
      <c r="R52" s="2"/>
      <c r="S52" s="2"/>
      <c r="T52" s="2"/>
      <c r="U52" s="2"/>
      <c r="V52" s="2"/>
    </row>
    <row r="53" ht="15.75" customHeight="1">
      <c r="A53" s="2"/>
      <c r="B53" s="2"/>
      <c r="C53" s="2"/>
      <c r="D53" s="2"/>
      <c r="E53" s="2"/>
      <c r="F53" s="2"/>
      <c r="G53" s="2"/>
      <c r="H53" s="2"/>
      <c r="I53" s="2"/>
      <c r="J53" s="2"/>
      <c r="K53" s="2"/>
      <c r="L53" s="2"/>
      <c r="M53" s="2"/>
      <c r="N53" s="2"/>
      <c r="O53" s="2"/>
      <c r="P53" s="2"/>
      <c r="Q53" s="2"/>
      <c r="R53" s="2"/>
      <c r="S53" s="2"/>
      <c r="T53" s="2"/>
      <c r="U53" s="2"/>
      <c r="V53" s="2"/>
    </row>
    <row r="54" ht="15.75" customHeight="1">
      <c r="A54" s="2"/>
      <c r="B54" s="2"/>
      <c r="C54" s="2"/>
      <c r="D54" s="2"/>
      <c r="E54" s="2"/>
      <c r="F54" s="2"/>
      <c r="G54" s="2"/>
      <c r="H54" s="2"/>
      <c r="I54" s="2"/>
      <c r="J54" s="2"/>
      <c r="K54" s="2"/>
      <c r="L54" s="2"/>
      <c r="M54" s="2"/>
      <c r="N54" s="2"/>
      <c r="O54" s="2"/>
      <c r="P54" s="2"/>
      <c r="Q54" s="2"/>
      <c r="R54" s="2"/>
      <c r="S54" s="2"/>
      <c r="T54" s="2"/>
      <c r="U54" s="2"/>
      <c r="V54" s="2"/>
    </row>
    <row r="55" ht="15.75" customHeight="1">
      <c r="A55" s="2"/>
      <c r="B55" s="2"/>
      <c r="C55" s="2"/>
      <c r="D55" s="2"/>
      <c r="E55" s="2"/>
      <c r="F55" s="2"/>
      <c r="G55" s="2"/>
      <c r="H55" s="2"/>
      <c r="I55" s="2"/>
      <c r="J55" s="2"/>
      <c r="K55" s="2"/>
      <c r="L55" s="2"/>
      <c r="M55" s="2"/>
      <c r="N55" s="2"/>
      <c r="O55" s="2"/>
      <c r="P55" s="2"/>
      <c r="Q55" s="2"/>
      <c r="R55" s="2"/>
      <c r="S55" s="2"/>
      <c r="T55" s="2"/>
      <c r="U55" s="2"/>
      <c r="V55" s="2"/>
    </row>
    <row r="56" ht="15.75" customHeight="1">
      <c r="A56" s="2"/>
      <c r="B56" s="2"/>
      <c r="C56" s="2"/>
      <c r="D56" s="2"/>
      <c r="E56" s="2"/>
      <c r="F56" s="2"/>
      <c r="G56" s="2"/>
      <c r="H56" s="2"/>
      <c r="I56" s="2"/>
      <c r="J56" s="2"/>
      <c r="K56" s="2"/>
      <c r="L56" s="2"/>
      <c r="M56" s="2"/>
      <c r="N56" s="2"/>
      <c r="O56" s="2"/>
      <c r="P56" s="2"/>
      <c r="Q56" s="2"/>
      <c r="R56" s="2"/>
      <c r="S56" s="2"/>
      <c r="T56" s="2"/>
      <c r="U56" s="2"/>
      <c r="V56" s="2"/>
    </row>
    <row r="57" ht="15.75" customHeight="1">
      <c r="A57" s="2"/>
      <c r="B57" s="2"/>
      <c r="C57" s="2"/>
      <c r="D57" s="2"/>
      <c r="E57" s="2"/>
      <c r="F57" s="2"/>
      <c r="G57" s="2"/>
      <c r="H57" s="2"/>
      <c r="I57" s="2"/>
      <c r="J57" s="2"/>
      <c r="K57" s="2"/>
      <c r="L57" s="2"/>
      <c r="M57" s="2"/>
      <c r="N57" s="2"/>
      <c r="O57" s="2"/>
      <c r="P57" s="2"/>
      <c r="Q57" s="2"/>
      <c r="R57" s="2"/>
      <c r="S57" s="2"/>
      <c r="T57" s="2"/>
      <c r="U57" s="2"/>
      <c r="V57" s="2"/>
    </row>
    <row r="58" ht="15.75" customHeight="1">
      <c r="A58" s="2"/>
      <c r="B58" s="2"/>
      <c r="C58" s="2"/>
      <c r="D58" s="2"/>
      <c r="E58" s="2"/>
      <c r="F58" s="2"/>
      <c r="G58" s="2"/>
      <c r="H58" s="2"/>
      <c r="I58" s="2"/>
      <c r="J58" s="2"/>
      <c r="K58" s="2"/>
      <c r="L58" s="2"/>
      <c r="M58" s="2"/>
      <c r="N58" s="2"/>
      <c r="O58" s="2"/>
      <c r="P58" s="2"/>
      <c r="Q58" s="2"/>
      <c r="R58" s="2"/>
      <c r="S58" s="2"/>
      <c r="T58" s="2"/>
      <c r="U58" s="2"/>
      <c r="V58" s="2"/>
    </row>
    <row r="59" ht="15.75" customHeight="1">
      <c r="A59" s="2"/>
      <c r="B59" s="2"/>
      <c r="C59" s="2"/>
      <c r="D59" s="2"/>
      <c r="E59" s="2"/>
      <c r="F59" s="2"/>
      <c r="G59" s="2"/>
      <c r="H59" s="2"/>
      <c r="I59" s="2"/>
      <c r="J59" s="2"/>
      <c r="K59" s="2"/>
      <c r="L59" s="2"/>
      <c r="M59" s="2"/>
      <c r="N59" s="2"/>
      <c r="O59" s="2"/>
      <c r="P59" s="2"/>
      <c r="Q59" s="2"/>
      <c r="R59" s="2"/>
      <c r="S59" s="2"/>
      <c r="T59" s="2"/>
      <c r="U59" s="2"/>
      <c r="V59" s="2"/>
    </row>
    <row r="60" ht="15.75" customHeight="1">
      <c r="A60" s="2"/>
      <c r="B60" s="2"/>
      <c r="C60" s="2"/>
      <c r="D60" s="2"/>
      <c r="E60" s="2"/>
      <c r="F60" s="2"/>
      <c r="G60" s="2"/>
      <c r="H60" s="2"/>
      <c r="I60" s="2"/>
      <c r="J60" s="2"/>
      <c r="K60" s="2"/>
      <c r="L60" s="2"/>
      <c r="M60" s="2"/>
      <c r="N60" s="2"/>
      <c r="O60" s="2"/>
      <c r="P60" s="2"/>
      <c r="Q60" s="2"/>
      <c r="R60" s="2"/>
      <c r="S60" s="2"/>
      <c r="T60" s="2"/>
      <c r="U60" s="2"/>
      <c r="V60" s="2"/>
    </row>
    <row r="61" ht="15.75" customHeight="1">
      <c r="A61" s="2"/>
      <c r="B61" s="2"/>
      <c r="C61" s="2"/>
      <c r="D61" s="2"/>
      <c r="E61" s="2"/>
      <c r="F61" s="2"/>
      <c r="G61" s="2"/>
      <c r="H61" s="2"/>
      <c r="I61" s="2"/>
      <c r="J61" s="2"/>
      <c r="K61" s="2"/>
      <c r="L61" s="2"/>
      <c r="M61" s="2"/>
      <c r="N61" s="2"/>
      <c r="O61" s="2"/>
      <c r="P61" s="2"/>
      <c r="Q61" s="2"/>
      <c r="R61" s="2"/>
      <c r="S61" s="2"/>
      <c r="T61" s="2"/>
      <c r="U61" s="2"/>
      <c r="V61" s="2"/>
    </row>
    <row r="62" ht="15.75" customHeight="1">
      <c r="A62" s="2"/>
      <c r="B62" s="2"/>
      <c r="C62" s="2"/>
      <c r="D62" s="2"/>
      <c r="E62" s="2"/>
      <c r="F62" s="2"/>
      <c r="G62" s="2"/>
      <c r="H62" s="2"/>
      <c r="I62" s="2"/>
      <c r="J62" s="2"/>
      <c r="K62" s="2"/>
      <c r="L62" s="2"/>
      <c r="M62" s="2"/>
      <c r="N62" s="2"/>
      <c r="O62" s="2"/>
      <c r="P62" s="2"/>
      <c r="Q62" s="2"/>
      <c r="R62" s="2"/>
      <c r="S62" s="2"/>
      <c r="T62" s="2"/>
      <c r="U62" s="2"/>
      <c r="V62" s="2"/>
    </row>
    <row r="63" ht="15.75" customHeight="1">
      <c r="A63" s="2"/>
      <c r="B63" s="2"/>
      <c r="C63" s="2"/>
      <c r="D63" s="2"/>
      <c r="E63" s="2"/>
      <c r="F63" s="2"/>
      <c r="G63" s="2"/>
      <c r="H63" s="2"/>
      <c r="I63" s="2"/>
      <c r="J63" s="2"/>
      <c r="K63" s="2"/>
      <c r="L63" s="2"/>
      <c r="M63" s="2"/>
      <c r="N63" s="2"/>
      <c r="O63" s="2"/>
      <c r="P63" s="2"/>
      <c r="Q63" s="2"/>
      <c r="R63" s="2"/>
      <c r="S63" s="2"/>
      <c r="T63" s="2"/>
      <c r="U63" s="2"/>
      <c r="V63" s="2"/>
    </row>
    <row r="64" ht="15.75" customHeight="1">
      <c r="A64" s="2"/>
      <c r="B64" s="2"/>
      <c r="C64" s="2"/>
      <c r="D64" s="2"/>
      <c r="E64" s="2"/>
      <c r="F64" s="2"/>
      <c r="G64" s="2"/>
      <c r="H64" s="2"/>
      <c r="I64" s="2"/>
      <c r="J64" s="2"/>
      <c r="K64" s="2"/>
      <c r="L64" s="2"/>
      <c r="M64" s="2"/>
      <c r="N64" s="2"/>
      <c r="O64" s="2"/>
      <c r="P64" s="2"/>
      <c r="Q64" s="2"/>
      <c r="R64" s="2"/>
      <c r="S64" s="2"/>
      <c r="T64" s="2"/>
      <c r="U64" s="2"/>
      <c r="V64" s="2"/>
    </row>
    <row r="65" ht="15.75" customHeight="1">
      <c r="A65" s="2"/>
      <c r="B65" s="2"/>
      <c r="C65" s="2"/>
      <c r="D65" s="2"/>
      <c r="E65" s="2"/>
      <c r="F65" s="2"/>
      <c r="G65" s="2"/>
      <c r="H65" s="2"/>
      <c r="I65" s="2"/>
      <c r="J65" s="2"/>
      <c r="K65" s="2"/>
      <c r="L65" s="2"/>
      <c r="M65" s="2"/>
      <c r="N65" s="2"/>
      <c r="O65" s="2"/>
      <c r="P65" s="2"/>
      <c r="Q65" s="2"/>
      <c r="R65" s="2"/>
      <c r="S65" s="2"/>
      <c r="T65" s="2"/>
      <c r="U65" s="2"/>
      <c r="V65" s="2"/>
    </row>
    <row r="66" ht="15.75" customHeight="1">
      <c r="A66" s="2"/>
      <c r="B66" s="2"/>
      <c r="C66" s="2"/>
      <c r="D66" s="2"/>
      <c r="E66" s="2"/>
      <c r="F66" s="2"/>
      <c r="G66" s="2"/>
      <c r="H66" s="2"/>
      <c r="I66" s="2"/>
      <c r="J66" s="2"/>
      <c r="K66" s="2"/>
      <c r="L66" s="2"/>
      <c r="M66" s="2"/>
      <c r="N66" s="2"/>
      <c r="O66" s="2"/>
      <c r="P66" s="2"/>
      <c r="Q66" s="2"/>
      <c r="R66" s="2"/>
      <c r="S66" s="2"/>
      <c r="T66" s="2"/>
      <c r="U66" s="2"/>
      <c r="V66" s="2"/>
    </row>
    <row r="67" ht="15.75" customHeight="1">
      <c r="A67" s="2"/>
      <c r="B67" s="2"/>
      <c r="C67" s="2"/>
      <c r="D67" s="2"/>
      <c r="E67" s="2"/>
      <c r="F67" s="2"/>
      <c r="G67" s="2"/>
      <c r="H67" s="2"/>
      <c r="I67" s="2"/>
      <c r="J67" s="2"/>
      <c r="K67" s="2"/>
      <c r="L67" s="2"/>
      <c r="M67" s="2"/>
      <c r="N67" s="2"/>
      <c r="O67" s="2"/>
      <c r="P67" s="2"/>
      <c r="Q67" s="2"/>
      <c r="R67" s="2"/>
      <c r="S67" s="2"/>
      <c r="T67" s="2"/>
      <c r="U67" s="2"/>
      <c r="V67" s="2"/>
    </row>
    <row r="68" ht="15.75" customHeight="1">
      <c r="A68" s="2"/>
      <c r="B68" s="2"/>
      <c r="C68" s="2"/>
      <c r="D68" s="2"/>
      <c r="E68" s="2"/>
      <c r="F68" s="2"/>
      <c r="G68" s="2"/>
      <c r="H68" s="2"/>
      <c r="I68" s="2"/>
      <c r="J68" s="2"/>
      <c r="K68" s="2"/>
      <c r="L68" s="2"/>
      <c r="M68" s="2"/>
      <c r="N68" s="2"/>
      <c r="O68" s="2"/>
      <c r="P68" s="2"/>
      <c r="Q68" s="2"/>
      <c r="R68" s="2"/>
      <c r="S68" s="2"/>
      <c r="T68" s="2"/>
      <c r="U68" s="2"/>
      <c r="V68" s="2"/>
    </row>
    <row r="69" ht="15.75" customHeight="1">
      <c r="A69" s="2"/>
      <c r="B69" s="2"/>
      <c r="C69" s="2"/>
      <c r="D69" s="2"/>
      <c r="E69" s="2"/>
      <c r="F69" s="2"/>
      <c r="G69" s="2"/>
      <c r="H69" s="2"/>
      <c r="I69" s="2"/>
      <c r="J69" s="2"/>
      <c r="K69" s="2"/>
      <c r="L69" s="2"/>
      <c r="M69" s="2"/>
      <c r="N69" s="2"/>
      <c r="O69" s="2"/>
      <c r="P69" s="2"/>
      <c r="Q69" s="2"/>
      <c r="R69" s="2"/>
      <c r="S69" s="2"/>
      <c r="T69" s="2"/>
      <c r="U69" s="2"/>
      <c r="V69" s="2"/>
    </row>
    <row r="70" ht="15.75" customHeight="1">
      <c r="A70" s="2"/>
      <c r="B70" s="2"/>
      <c r="C70" s="2"/>
      <c r="D70" s="2"/>
      <c r="E70" s="2"/>
      <c r="F70" s="2"/>
      <c r="G70" s="2"/>
      <c r="H70" s="2"/>
      <c r="I70" s="2"/>
      <c r="J70" s="2"/>
      <c r="K70" s="2"/>
      <c r="L70" s="2"/>
      <c r="M70" s="2"/>
      <c r="N70" s="2"/>
      <c r="O70" s="2"/>
      <c r="P70" s="2"/>
      <c r="Q70" s="2"/>
      <c r="R70" s="2"/>
      <c r="S70" s="2"/>
      <c r="T70" s="2"/>
      <c r="U70" s="2"/>
      <c r="V70" s="2"/>
    </row>
    <row r="71" ht="15.75" customHeight="1">
      <c r="A71" s="2"/>
      <c r="B71" s="2"/>
      <c r="C71" s="2"/>
      <c r="D71" s="2"/>
      <c r="E71" s="2"/>
      <c r="F71" s="2"/>
      <c r="G71" s="2"/>
      <c r="H71" s="2"/>
      <c r="I71" s="2"/>
      <c r="J71" s="2"/>
      <c r="K71" s="2"/>
      <c r="L71" s="2"/>
      <c r="M71" s="2"/>
      <c r="N71" s="2"/>
      <c r="O71" s="2"/>
      <c r="P71" s="2"/>
      <c r="Q71" s="2"/>
      <c r="R71" s="2"/>
      <c r="S71" s="2"/>
      <c r="T71" s="2"/>
      <c r="U71" s="2"/>
      <c r="V71" s="2"/>
    </row>
    <row r="72" ht="15.75" customHeight="1">
      <c r="A72" s="2"/>
      <c r="B72" s="2"/>
      <c r="C72" s="2"/>
      <c r="D72" s="2"/>
      <c r="E72" s="2"/>
      <c r="F72" s="2"/>
      <c r="G72" s="2"/>
      <c r="H72" s="2"/>
      <c r="I72" s="2"/>
      <c r="J72" s="2"/>
      <c r="K72" s="2"/>
      <c r="L72" s="2"/>
      <c r="M72" s="2"/>
      <c r="N72" s="2"/>
      <c r="O72" s="2"/>
      <c r="P72" s="2"/>
      <c r="Q72" s="2"/>
      <c r="R72" s="2"/>
      <c r="S72" s="2"/>
      <c r="T72" s="2"/>
      <c r="U72" s="2"/>
      <c r="V72" s="2"/>
    </row>
    <row r="73" ht="15.75" customHeight="1">
      <c r="A73" s="2"/>
      <c r="B73" s="2"/>
      <c r="C73" s="2"/>
      <c r="D73" s="2"/>
      <c r="E73" s="2"/>
      <c r="F73" s="2"/>
      <c r="G73" s="2"/>
      <c r="H73" s="2"/>
      <c r="I73" s="2"/>
      <c r="J73" s="2"/>
      <c r="K73" s="2"/>
      <c r="L73" s="2"/>
      <c r="M73" s="2"/>
      <c r="N73" s="2"/>
      <c r="O73" s="2"/>
      <c r="P73" s="2"/>
      <c r="Q73" s="2"/>
      <c r="R73" s="2"/>
      <c r="S73" s="2"/>
      <c r="T73" s="2"/>
      <c r="U73" s="2"/>
      <c r="V73" s="2"/>
    </row>
    <row r="74" ht="15.75" customHeight="1">
      <c r="A74" s="2"/>
      <c r="B74" s="2"/>
      <c r="C74" s="2"/>
      <c r="D74" s="2"/>
      <c r="E74" s="2"/>
      <c r="F74" s="2"/>
      <c r="G74" s="2"/>
      <c r="H74" s="2"/>
      <c r="I74" s="2"/>
      <c r="J74" s="2"/>
      <c r="K74" s="2"/>
      <c r="L74" s="2"/>
      <c r="M74" s="2"/>
      <c r="N74" s="2"/>
      <c r="O74" s="2"/>
      <c r="P74" s="2"/>
      <c r="Q74" s="2"/>
      <c r="R74" s="2"/>
      <c r="S74" s="2"/>
      <c r="T74" s="2"/>
      <c r="U74" s="2"/>
      <c r="V74" s="2"/>
    </row>
    <row r="75" ht="15.75" customHeight="1">
      <c r="A75" s="2"/>
      <c r="B75" s="2"/>
      <c r="C75" s="2"/>
      <c r="D75" s="2"/>
      <c r="E75" s="2"/>
      <c r="F75" s="2"/>
      <c r="G75" s="2"/>
      <c r="H75" s="2"/>
      <c r="I75" s="2"/>
      <c r="J75" s="2"/>
      <c r="K75" s="2"/>
      <c r="L75" s="2"/>
      <c r="M75" s="2"/>
      <c r="N75" s="2"/>
      <c r="O75" s="2"/>
      <c r="P75" s="2"/>
      <c r="Q75" s="2"/>
      <c r="R75" s="2"/>
      <c r="S75" s="2"/>
      <c r="T75" s="2"/>
      <c r="U75" s="2"/>
      <c r="V75" s="2"/>
    </row>
    <row r="76" ht="15.75" customHeight="1">
      <c r="A76" s="2"/>
      <c r="B76" s="2"/>
      <c r="C76" s="2"/>
      <c r="D76" s="2"/>
      <c r="E76" s="2"/>
      <c r="F76" s="2"/>
      <c r="G76" s="2"/>
      <c r="H76" s="2"/>
      <c r="I76" s="2"/>
      <c r="J76" s="2"/>
      <c r="K76" s="2"/>
      <c r="L76" s="2"/>
      <c r="M76" s="2"/>
      <c r="N76" s="2"/>
      <c r="O76" s="2"/>
      <c r="P76" s="2"/>
      <c r="Q76" s="2"/>
      <c r="R76" s="2"/>
      <c r="S76" s="2"/>
      <c r="T76" s="2"/>
      <c r="U76" s="2"/>
      <c r="V76" s="2"/>
    </row>
    <row r="77" ht="15.75" customHeight="1">
      <c r="A77" s="2"/>
      <c r="B77" s="2"/>
      <c r="C77" s="2"/>
      <c r="D77" s="2"/>
      <c r="E77" s="2"/>
      <c r="F77" s="2"/>
      <c r="G77" s="2"/>
      <c r="H77" s="2"/>
      <c r="I77" s="2"/>
      <c r="J77" s="2"/>
      <c r="K77" s="2"/>
      <c r="L77" s="2"/>
      <c r="M77" s="2"/>
      <c r="N77" s="2"/>
      <c r="O77" s="2"/>
      <c r="P77" s="2"/>
      <c r="Q77" s="2"/>
      <c r="R77" s="2"/>
      <c r="S77" s="2"/>
      <c r="T77" s="2"/>
      <c r="U77" s="2"/>
      <c r="V77" s="2"/>
    </row>
    <row r="78" ht="15.75" customHeight="1">
      <c r="A78" s="2"/>
      <c r="B78" s="2"/>
      <c r="C78" s="2"/>
      <c r="D78" s="2"/>
      <c r="E78" s="2"/>
      <c r="F78" s="2"/>
      <c r="G78" s="2"/>
      <c r="H78" s="2"/>
      <c r="I78" s="2"/>
      <c r="J78" s="2"/>
      <c r="K78" s="2"/>
      <c r="L78" s="2"/>
      <c r="M78" s="2"/>
      <c r="N78" s="2"/>
      <c r="O78" s="2"/>
      <c r="P78" s="2"/>
      <c r="Q78" s="2"/>
      <c r="R78" s="2"/>
      <c r="S78" s="2"/>
      <c r="T78" s="2"/>
      <c r="U78" s="2"/>
      <c r="V78" s="2"/>
    </row>
    <row r="79" ht="15.75" customHeight="1">
      <c r="A79" s="2"/>
      <c r="B79" s="2"/>
      <c r="C79" s="2"/>
      <c r="D79" s="2"/>
      <c r="E79" s="2"/>
      <c r="F79" s="2"/>
      <c r="G79" s="2"/>
      <c r="H79" s="2"/>
      <c r="I79" s="2"/>
      <c r="J79" s="2"/>
      <c r="K79" s="2"/>
      <c r="L79" s="2"/>
      <c r="M79" s="2"/>
      <c r="N79" s="2"/>
      <c r="O79" s="2"/>
      <c r="P79" s="2"/>
      <c r="Q79" s="2"/>
      <c r="R79" s="2"/>
      <c r="S79" s="2"/>
      <c r="T79" s="2"/>
      <c r="U79" s="2"/>
      <c r="V79" s="2"/>
    </row>
    <row r="80" ht="15.75" customHeight="1">
      <c r="A80" s="2"/>
      <c r="B80" s="2"/>
      <c r="C80" s="2"/>
      <c r="D80" s="2"/>
      <c r="E80" s="2"/>
      <c r="F80" s="2"/>
      <c r="G80" s="2"/>
      <c r="H80" s="2"/>
      <c r="I80" s="2"/>
      <c r="J80" s="2"/>
      <c r="K80" s="2"/>
      <c r="L80" s="2"/>
      <c r="M80" s="2"/>
      <c r="N80" s="2"/>
      <c r="O80" s="2"/>
      <c r="P80" s="2"/>
      <c r="Q80" s="2"/>
      <c r="R80" s="2"/>
      <c r="S80" s="2"/>
      <c r="T80" s="2"/>
      <c r="U80" s="2"/>
      <c r="V80" s="2"/>
    </row>
    <row r="81" ht="15.75" customHeight="1">
      <c r="A81" s="2"/>
      <c r="B81" s="2"/>
      <c r="C81" s="2"/>
      <c r="D81" s="2"/>
      <c r="E81" s="2"/>
      <c r="F81" s="2"/>
      <c r="G81" s="2"/>
      <c r="H81" s="2"/>
      <c r="I81" s="2"/>
      <c r="J81" s="2"/>
      <c r="K81" s="2"/>
      <c r="L81" s="2"/>
      <c r="M81" s="2"/>
      <c r="N81" s="2"/>
      <c r="O81" s="2"/>
      <c r="P81" s="2"/>
      <c r="Q81" s="2"/>
      <c r="R81" s="2"/>
      <c r="S81" s="2"/>
      <c r="T81" s="2"/>
      <c r="U81" s="2"/>
      <c r="V81" s="2"/>
    </row>
    <row r="82" ht="15.75" customHeight="1">
      <c r="A82" s="2"/>
      <c r="B82" s="2"/>
      <c r="C82" s="2"/>
      <c r="D82" s="2"/>
      <c r="E82" s="2"/>
      <c r="F82" s="2"/>
      <c r="G82" s="2"/>
      <c r="H82" s="2"/>
      <c r="I82" s="2"/>
      <c r="J82" s="2"/>
      <c r="K82" s="2"/>
      <c r="L82" s="2"/>
      <c r="M82" s="2"/>
      <c r="N82" s="2"/>
      <c r="O82" s="2"/>
      <c r="P82" s="2"/>
      <c r="Q82" s="2"/>
      <c r="R82" s="2"/>
      <c r="S82" s="2"/>
      <c r="T82" s="2"/>
      <c r="U82" s="2"/>
      <c r="V82" s="2"/>
    </row>
    <row r="83" ht="15.75" customHeight="1">
      <c r="A83" s="2"/>
      <c r="B83" s="2"/>
      <c r="C83" s="2"/>
      <c r="D83" s="2"/>
      <c r="E83" s="2"/>
      <c r="F83" s="2"/>
      <c r="G83" s="2"/>
      <c r="H83" s="2"/>
      <c r="I83" s="2"/>
      <c r="J83" s="2"/>
      <c r="K83" s="2"/>
      <c r="L83" s="2"/>
      <c r="M83" s="2"/>
      <c r="N83" s="2"/>
      <c r="O83" s="2"/>
      <c r="P83" s="2"/>
      <c r="Q83" s="2"/>
      <c r="R83" s="2"/>
      <c r="S83" s="2"/>
      <c r="T83" s="2"/>
      <c r="U83" s="2"/>
      <c r="V83" s="2"/>
    </row>
    <row r="84" ht="15.75" customHeight="1">
      <c r="A84" s="2"/>
      <c r="B84" s="2"/>
      <c r="C84" s="2"/>
      <c r="D84" s="2"/>
      <c r="E84" s="2"/>
      <c r="F84" s="2"/>
      <c r="G84" s="2"/>
      <c r="H84" s="2"/>
      <c r="I84" s="2"/>
      <c r="J84" s="2"/>
      <c r="K84" s="2"/>
      <c r="L84" s="2"/>
      <c r="M84" s="2"/>
      <c r="N84" s="2"/>
      <c r="O84" s="2"/>
      <c r="P84" s="2"/>
      <c r="Q84" s="2"/>
      <c r="R84" s="2"/>
      <c r="S84" s="2"/>
      <c r="T84" s="2"/>
      <c r="U84" s="2"/>
      <c r="V84" s="2"/>
    </row>
    <row r="85" ht="15.75" customHeight="1">
      <c r="A85" s="2"/>
      <c r="B85" s="2"/>
      <c r="C85" s="2"/>
      <c r="D85" s="2"/>
      <c r="E85" s="2"/>
      <c r="F85" s="2"/>
      <c r="G85" s="2"/>
      <c r="H85" s="2"/>
      <c r="I85" s="2"/>
      <c r="J85" s="2"/>
      <c r="K85" s="2"/>
      <c r="L85" s="2"/>
      <c r="M85" s="2"/>
      <c r="N85" s="2"/>
      <c r="O85" s="2"/>
      <c r="P85" s="2"/>
      <c r="Q85" s="2"/>
      <c r="R85" s="2"/>
      <c r="S85" s="2"/>
      <c r="T85" s="2"/>
      <c r="U85" s="2"/>
      <c r="V85" s="2"/>
    </row>
    <row r="86" ht="15.75" customHeight="1">
      <c r="A86" s="2"/>
      <c r="B86" s="2"/>
      <c r="C86" s="2"/>
      <c r="D86" s="2"/>
      <c r="E86" s="2"/>
      <c r="F86" s="2"/>
      <c r="G86" s="2"/>
      <c r="H86" s="2"/>
      <c r="I86" s="2"/>
      <c r="J86" s="2"/>
      <c r="K86" s="2"/>
      <c r="L86" s="2"/>
      <c r="M86" s="2"/>
      <c r="N86" s="2"/>
      <c r="O86" s="2"/>
      <c r="P86" s="2"/>
      <c r="Q86" s="2"/>
      <c r="R86" s="2"/>
      <c r="S86" s="2"/>
      <c r="T86" s="2"/>
      <c r="U86" s="2"/>
      <c r="V86" s="2"/>
    </row>
    <row r="87" ht="15.75" customHeight="1">
      <c r="A87" s="2"/>
      <c r="B87" s="2"/>
      <c r="C87" s="2"/>
      <c r="D87" s="2"/>
      <c r="E87" s="2"/>
      <c r="F87" s="2"/>
      <c r="G87" s="2"/>
      <c r="H87" s="2"/>
      <c r="I87" s="2"/>
      <c r="J87" s="2"/>
      <c r="K87" s="2"/>
      <c r="L87" s="2"/>
      <c r="M87" s="2"/>
      <c r="N87" s="2"/>
      <c r="O87" s="2"/>
      <c r="P87" s="2"/>
      <c r="Q87" s="2"/>
      <c r="R87" s="2"/>
      <c r="S87" s="2"/>
      <c r="T87" s="2"/>
      <c r="U87" s="2"/>
      <c r="V87" s="2"/>
    </row>
    <row r="88" ht="15.75" customHeight="1">
      <c r="A88" s="2"/>
      <c r="B88" s="2"/>
      <c r="C88" s="2"/>
      <c r="D88" s="2"/>
      <c r="E88" s="2"/>
      <c r="F88" s="2"/>
      <c r="G88" s="2"/>
      <c r="H88" s="2"/>
      <c r="I88" s="2"/>
      <c r="J88" s="2"/>
      <c r="K88" s="2"/>
      <c r="L88" s="2"/>
      <c r="M88" s="2"/>
      <c r="N88" s="2"/>
      <c r="O88" s="2"/>
      <c r="P88" s="2"/>
      <c r="Q88" s="2"/>
      <c r="R88" s="2"/>
      <c r="S88" s="2"/>
      <c r="T88" s="2"/>
      <c r="U88" s="2"/>
      <c r="V88" s="2"/>
    </row>
    <row r="89" ht="15.75" customHeight="1">
      <c r="A89" s="2"/>
      <c r="B89" s="2"/>
      <c r="C89" s="2"/>
      <c r="D89" s="2"/>
      <c r="E89" s="2"/>
      <c r="F89" s="2"/>
      <c r="G89" s="2"/>
      <c r="H89" s="2"/>
      <c r="I89" s="2"/>
      <c r="J89" s="2"/>
      <c r="K89" s="2"/>
      <c r="L89" s="2"/>
      <c r="M89" s="2"/>
      <c r="N89" s="2"/>
      <c r="O89" s="2"/>
      <c r="P89" s="2"/>
      <c r="Q89" s="2"/>
      <c r="R89" s="2"/>
      <c r="S89" s="2"/>
      <c r="T89" s="2"/>
      <c r="U89" s="2"/>
      <c r="V89" s="2"/>
    </row>
    <row r="90" ht="15.75" customHeight="1">
      <c r="A90" s="2"/>
      <c r="B90" s="2"/>
      <c r="C90" s="2"/>
      <c r="D90" s="2"/>
      <c r="E90" s="2"/>
      <c r="F90" s="2"/>
      <c r="G90" s="2"/>
      <c r="H90" s="2"/>
      <c r="I90" s="2"/>
      <c r="J90" s="2"/>
      <c r="K90" s="2"/>
      <c r="L90" s="2"/>
      <c r="M90" s="2"/>
      <c r="N90" s="2"/>
      <c r="O90" s="2"/>
      <c r="P90" s="2"/>
      <c r="Q90" s="2"/>
      <c r="R90" s="2"/>
      <c r="S90" s="2"/>
      <c r="T90" s="2"/>
      <c r="U90" s="2"/>
      <c r="V90" s="2"/>
    </row>
    <row r="91" ht="15.75" customHeight="1">
      <c r="A91" s="2"/>
      <c r="B91" s="2"/>
      <c r="C91" s="2"/>
      <c r="D91" s="2"/>
      <c r="E91" s="2"/>
      <c r="F91" s="2"/>
      <c r="G91" s="2"/>
      <c r="H91" s="2"/>
      <c r="I91" s="2"/>
      <c r="J91" s="2"/>
      <c r="K91" s="2"/>
      <c r="L91" s="2"/>
      <c r="M91" s="2"/>
      <c r="N91" s="2"/>
      <c r="O91" s="2"/>
      <c r="P91" s="2"/>
      <c r="Q91" s="2"/>
      <c r="R91" s="2"/>
      <c r="S91" s="2"/>
      <c r="T91" s="2"/>
      <c r="U91" s="2"/>
      <c r="V91" s="2"/>
    </row>
    <row r="92" ht="15.75" customHeight="1">
      <c r="A92" s="2"/>
      <c r="B92" s="2"/>
      <c r="C92" s="2"/>
      <c r="D92" s="2"/>
      <c r="E92" s="2"/>
      <c r="F92" s="2"/>
      <c r="G92" s="2"/>
      <c r="H92" s="2"/>
      <c r="I92" s="2"/>
      <c r="J92" s="2"/>
      <c r="K92" s="2"/>
      <c r="L92" s="2"/>
      <c r="M92" s="2"/>
      <c r="N92" s="2"/>
      <c r="O92" s="2"/>
      <c r="P92" s="2"/>
      <c r="Q92" s="2"/>
      <c r="R92" s="2"/>
      <c r="S92" s="2"/>
      <c r="T92" s="2"/>
      <c r="U92" s="2"/>
      <c r="V92" s="2"/>
    </row>
    <row r="93" ht="15.75" customHeight="1">
      <c r="A93" s="2"/>
      <c r="B93" s="2"/>
      <c r="C93" s="2"/>
      <c r="D93" s="2"/>
      <c r="E93" s="2"/>
      <c r="F93" s="2"/>
      <c r="G93" s="2"/>
      <c r="H93" s="2"/>
      <c r="I93" s="2"/>
      <c r="J93" s="2"/>
      <c r="K93" s="2"/>
      <c r="L93" s="2"/>
      <c r="M93" s="2"/>
      <c r="N93" s="2"/>
      <c r="O93" s="2"/>
      <c r="P93" s="2"/>
      <c r="Q93" s="2"/>
      <c r="R93" s="2"/>
      <c r="S93" s="2"/>
      <c r="T93" s="2"/>
      <c r="U93" s="2"/>
      <c r="V93" s="2"/>
    </row>
    <row r="94" ht="15.75" customHeight="1">
      <c r="A94" s="2"/>
      <c r="B94" s="2"/>
      <c r="C94" s="2"/>
      <c r="D94" s="2"/>
      <c r="E94" s="2"/>
      <c r="F94" s="2"/>
      <c r="G94" s="2"/>
      <c r="H94" s="2"/>
      <c r="I94" s="2"/>
      <c r="J94" s="2"/>
      <c r="K94" s="2"/>
      <c r="L94" s="2"/>
      <c r="M94" s="2"/>
      <c r="N94" s="2"/>
      <c r="O94" s="2"/>
      <c r="P94" s="2"/>
      <c r="Q94" s="2"/>
      <c r="R94" s="2"/>
      <c r="S94" s="2"/>
      <c r="T94" s="2"/>
      <c r="U94" s="2"/>
      <c r="V94" s="2"/>
    </row>
    <row r="95" ht="15.75" customHeight="1">
      <c r="A95" s="2"/>
      <c r="B95" s="2"/>
      <c r="C95" s="2"/>
      <c r="D95" s="2"/>
      <c r="E95" s="2"/>
      <c r="F95" s="2"/>
      <c r="G95" s="2"/>
      <c r="H95" s="2"/>
      <c r="I95" s="2"/>
      <c r="J95" s="2"/>
      <c r="K95" s="2"/>
      <c r="L95" s="2"/>
      <c r="M95" s="2"/>
      <c r="N95" s="2"/>
      <c r="O95" s="2"/>
      <c r="P95" s="2"/>
      <c r="Q95" s="2"/>
      <c r="R95" s="2"/>
      <c r="S95" s="2"/>
      <c r="T95" s="2"/>
      <c r="U95" s="2"/>
      <c r="V95" s="2"/>
    </row>
    <row r="96" ht="15.75" customHeight="1">
      <c r="A96" s="2"/>
      <c r="B96" s="2"/>
      <c r="C96" s="2"/>
      <c r="D96" s="2"/>
      <c r="E96" s="2"/>
      <c r="F96" s="2"/>
      <c r="G96" s="2"/>
      <c r="H96" s="2"/>
      <c r="I96" s="2"/>
      <c r="J96" s="2"/>
      <c r="K96" s="2"/>
      <c r="L96" s="2"/>
      <c r="M96" s="2"/>
      <c r="N96" s="2"/>
      <c r="O96" s="2"/>
      <c r="P96" s="2"/>
      <c r="Q96" s="2"/>
      <c r="R96" s="2"/>
      <c r="S96" s="2"/>
      <c r="T96" s="2"/>
      <c r="U96" s="2"/>
      <c r="V96" s="2"/>
    </row>
    <row r="97" ht="15.75" customHeight="1">
      <c r="A97" s="2"/>
      <c r="B97" s="2"/>
      <c r="C97" s="2"/>
      <c r="D97" s="2"/>
      <c r="E97" s="2"/>
      <c r="F97" s="2"/>
      <c r="G97" s="2"/>
      <c r="H97" s="2"/>
      <c r="I97" s="2"/>
      <c r="J97" s="2"/>
      <c r="K97" s="2"/>
      <c r="L97" s="2"/>
      <c r="M97" s="2"/>
      <c r="N97" s="2"/>
      <c r="O97" s="2"/>
      <c r="P97" s="2"/>
      <c r="Q97" s="2"/>
      <c r="R97" s="2"/>
      <c r="S97" s="2"/>
      <c r="T97" s="2"/>
      <c r="U97" s="2"/>
      <c r="V97" s="2"/>
    </row>
    <row r="98" ht="15.75" customHeight="1">
      <c r="A98" s="2"/>
      <c r="B98" s="2"/>
      <c r="C98" s="2"/>
      <c r="D98" s="2"/>
      <c r="E98" s="2"/>
      <c r="F98" s="2"/>
      <c r="G98" s="2"/>
      <c r="H98" s="2"/>
      <c r="I98" s="2"/>
      <c r="J98" s="2"/>
      <c r="K98" s="2"/>
      <c r="L98" s="2"/>
      <c r="M98" s="2"/>
      <c r="N98" s="2"/>
      <c r="O98" s="2"/>
      <c r="P98" s="2"/>
      <c r="Q98" s="2"/>
      <c r="R98" s="2"/>
      <c r="S98" s="2"/>
      <c r="T98" s="2"/>
      <c r="U98" s="2"/>
      <c r="V98" s="2"/>
    </row>
    <row r="99" ht="15.75" customHeight="1">
      <c r="A99" s="2"/>
      <c r="B99" s="2"/>
      <c r="C99" s="2"/>
      <c r="D99" s="2"/>
      <c r="E99" s="2"/>
      <c r="F99" s="2"/>
      <c r="G99" s="2"/>
      <c r="H99" s="2"/>
      <c r="I99" s="2"/>
      <c r="J99" s="2"/>
      <c r="K99" s="2"/>
      <c r="L99" s="2"/>
      <c r="M99" s="2"/>
      <c r="N99" s="2"/>
      <c r="O99" s="2"/>
      <c r="P99" s="2"/>
      <c r="Q99" s="2"/>
      <c r="R99" s="2"/>
      <c r="S99" s="2"/>
      <c r="T99" s="2"/>
      <c r="U99" s="2"/>
      <c r="V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E7:E8"/>
    <mergeCell ref="F7:F8"/>
    <mergeCell ref="G7:G8"/>
  </mergeCells>
  <printOptions/>
  <pageMargins bottom="0.75" footer="0.0" header="0.0" left="0.7" right="0.7" top="0.75"/>
  <pageSetup paperSize="9" orientation="portrait"/>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3333"/>
    <outlinePr summaryBelow="0" summaryRight="0"/>
    <pageSetUpPr/>
  </sheetPr>
  <sheetViews>
    <sheetView showGridLines="0" workbookViewId="0"/>
  </sheetViews>
  <sheetFormatPr customHeight="1" defaultColWidth="14.43" defaultRowHeight="15.0"/>
  <cols>
    <col customWidth="1" min="1" max="2" width="2.71"/>
    <col customWidth="1" min="3" max="3" width="4.29"/>
    <col customWidth="1" min="4" max="4" width="33.29"/>
    <col customWidth="1" min="5" max="6" width="19.43"/>
    <col customWidth="1" min="7" max="7" width="33.29"/>
    <col customWidth="1" min="8" max="8" width="19.43"/>
    <col customWidth="1" min="9" max="9" width="4.86"/>
    <col customWidth="1" min="10" max="10" width="7.29"/>
    <col customWidth="1" min="11" max="11" width="2.71"/>
    <col customWidth="1" min="12" max="23" width="17.29"/>
  </cols>
  <sheetData>
    <row r="1" ht="15.75" customHeight="1">
      <c r="A1" s="27"/>
      <c r="B1" s="27"/>
      <c r="C1" s="27"/>
      <c r="D1" s="27"/>
      <c r="E1" s="27"/>
      <c r="F1" s="27"/>
      <c r="G1" s="27"/>
      <c r="H1" s="27"/>
      <c r="I1" s="27"/>
      <c r="J1" s="27"/>
      <c r="K1" s="27"/>
      <c r="L1" s="2"/>
      <c r="M1" s="2"/>
      <c r="N1" s="2"/>
      <c r="O1" s="2"/>
      <c r="P1" s="2"/>
      <c r="Q1" s="2"/>
      <c r="R1" s="2"/>
      <c r="S1" s="2"/>
      <c r="T1" s="2"/>
      <c r="U1" s="2"/>
      <c r="V1" s="2"/>
      <c r="W1" s="2"/>
    </row>
    <row r="2" ht="15.75" customHeight="1">
      <c r="A2" s="27"/>
      <c r="B2" s="27"/>
      <c r="C2" s="27"/>
      <c r="D2" s="27"/>
      <c r="E2" s="27"/>
      <c r="F2" s="27"/>
      <c r="G2" s="27"/>
      <c r="H2" s="27"/>
      <c r="I2" s="27"/>
      <c r="J2" s="27"/>
      <c r="K2" s="27"/>
      <c r="L2" s="2"/>
      <c r="M2" s="2"/>
      <c r="N2" s="2"/>
      <c r="O2" s="2"/>
      <c r="P2" s="2"/>
      <c r="Q2" s="2"/>
      <c r="R2" s="2"/>
      <c r="S2" s="2"/>
      <c r="T2" s="2"/>
      <c r="U2" s="2"/>
      <c r="V2" s="2"/>
      <c r="W2" s="2"/>
      <c r="X2" s="2"/>
      <c r="Y2" s="2"/>
      <c r="Z2" s="2"/>
    </row>
    <row r="3" ht="15.75" customHeight="1">
      <c r="A3" s="27"/>
      <c r="B3" s="85"/>
      <c r="C3" s="86"/>
      <c r="D3" s="28"/>
      <c r="E3" s="28"/>
      <c r="F3" s="28"/>
      <c r="G3" s="28"/>
      <c r="H3" s="28"/>
      <c r="I3" s="28"/>
      <c r="J3" s="85"/>
      <c r="K3" s="27"/>
      <c r="L3" s="2"/>
      <c r="M3" s="2"/>
      <c r="N3" s="2"/>
      <c r="O3" s="2"/>
      <c r="P3" s="2"/>
      <c r="Q3" s="2"/>
      <c r="R3" s="2"/>
      <c r="S3" s="2"/>
      <c r="T3" s="2"/>
      <c r="U3" s="2"/>
      <c r="V3" s="2"/>
      <c r="W3" s="2"/>
    </row>
    <row r="4" ht="18.75" customHeight="1">
      <c r="A4" s="27"/>
      <c r="B4" s="85"/>
      <c r="C4" s="383" t="s">
        <v>322</v>
      </c>
      <c r="D4" s="384"/>
      <c r="E4" s="384"/>
      <c r="F4" s="384"/>
      <c r="G4" s="384"/>
      <c r="H4" s="384"/>
      <c r="I4" s="385"/>
      <c r="J4" s="85"/>
      <c r="K4" s="27"/>
      <c r="L4" s="2"/>
      <c r="M4" s="2"/>
      <c r="N4" s="2"/>
      <c r="O4" s="2"/>
      <c r="P4" s="2"/>
      <c r="Q4" s="2"/>
      <c r="R4" s="2"/>
      <c r="S4" s="2"/>
      <c r="T4" s="2"/>
      <c r="U4" s="2"/>
      <c r="V4" s="2"/>
      <c r="W4" s="2"/>
    </row>
    <row r="5" ht="15.75" customHeight="1">
      <c r="A5" s="27"/>
      <c r="B5" s="38"/>
      <c r="C5" s="386"/>
      <c r="D5" s="28"/>
      <c r="E5" s="28"/>
      <c r="F5" s="28"/>
      <c r="G5" s="28"/>
      <c r="H5" s="28"/>
      <c r="I5" s="387"/>
      <c r="J5" s="38"/>
      <c r="K5" s="27"/>
      <c r="L5" s="2"/>
      <c r="M5" s="2"/>
      <c r="N5" s="2"/>
      <c r="O5" s="2"/>
      <c r="P5" s="2"/>
      <c r="Q5" s="2"/>
      <c r="R5" s="2"/>
      <c r="S5" s="2"/>
      <c r="T5" s="2"/>
      <c r="U5" s="2"/>
      <c r="V5" s="2"/>
      <c r="W5" s="2"/>
    </row>
    <row r="6" ht="13.5" customHeight="1">
      <c r="A6" s="27"/>
      <c r="B6" s="38"/>
      <c r="C6" s="388"/>
      <c r="D6" s="389" t="s">
        <v>323</v>
      </c>
      <c r="E6" s="390">
        <f>+'Gastos Fijos de Fabricación'!L28+'Gastos de Comercialización'!K44+'Gastos Adm y Finanzas'!F29+'Activo no Corriente'!F25</f>
        <v>148097730.6</v>
      </c>
      <c r="F6" s="38"/>
      <c r="G6" s="391" t="s">
        <v>324</v>
      </c>
      <c r="H6" s="390">
        <f>+'Costos Variables de Fabricación'!L34</f>
        <v>37120.65662</v>
      </c>
      <c r="I6" s="392"/>
      <c r="J6" s="38"/>
      <c r="K6" s="27"/>
      <c r="L6" s="2"/>
      <c r="M6" s="2"/>
      <c r="N6" s="2"/>
      <c r="O6" s="2"/>
      <c r="P6" s="2"/>
      <c r="Q6" s="2"/>
      <c r="R6" s="2"/>
      <c r="S6" s="2"/>
      <c r="T6" s="2"/>
      <c r="U6" s="2"/>
      <c r="V6" s="2"/>
      <c r="W6" s="2"/>
    </row>
    <row r="7" ht="13.5" customHeight="1">
      <c r="A7" s="27"/>
      <c r="B7" s="38"/>
      <c r="C7" s="388"/>
      <c r="D7" s="391" t="s">
        <v>325</v>
      </c>
      <c r="E7" s="390">
        <f>+'Gastos Fijos de Fabricación'!L28+'Gastos de Comercialización'!K44+'Gastos Adm y Finanzas'!F29</f>
        <v>134187130.6</v>
      </c>
      <c r="F7" s="38"/>
      <c r="G7" s="391" t="s">
        <v>326</v>
      </c>
      <c r="H7" s="390">
        <f>+'Gastos de Comercialización'!L12</f>
        <v>7242</v>
      </c>
      <c r="I7" s="392"/>
      <c r="J7" s="38"/>
      <c r="K7" s="27"/>
      <c r="L7" s="2"/>
      <c r="M7" s="2"/>
      <c r="N7" s="2"/>
      <c r="O7" s="2"/>
      <c r="P7" s="2"/>
      <c r="Q7" s="2"/>
      <c r="R7" s="2"/>
      <c r="S7" s="2"/>
      <c r="T7" s="2"/>
      <c r="U7" s="2"/>
      <c r="V7" s="2"/>
      <c r="W7" s="2"/>
      <c r="X7" s="2"/>
      <c r="Y7" s="2"/>
      <c r="Z7" s="2"/>
    </row>
    <row r="8" ht="13.5" customHeight="1">
      <c r="A8" s="27"/>
      <c r="B8" s="38"/>
      <c r="C8" s="388"/>
      <c r="D8" s="389" t="s">
        <v>327</v>
      </c>
      <c r="E8" s="390">
        <f>E6-E7</f>
        <v>13910600</v>
      </c>
      <c r="F8" s="38"/>
      <c r="G8" s="199"/>
      <c r="H8" s="38"/>
      <c r="I8" s="393"/>
      <c r="J8" s="38"/>
      <c r="K8" s="27"/>
      <c r="L8" s="2"/>
      <c r="M8" s="2"/>
      <c r="N8" s="2"/>
      <c r="O8" s="2"/>
      <c r="P8" s="2"/>
      <c r="Q8" s="2"/>
      <c r="R8" s="2"/>
      <c r="S8" s="2"/>
      <c r="T8" s="2"/>
      <c r="U8" s="2"/>
      <c r="V8" s="2"/>
      <c r="W8" s="2"/>
    </row>
    <row r="9" ht="13.5" customHeight="1">
      <c r="A9" s="27"/>
      <c r="B9" s="38"/>
      <c r="C9" s="388"/>
      <c r="D9" s="389" t="s">
        <v>328</v>
      </c>
      <c r="E9" s="390">
        <f>+Mercado!F23</f>
        <v>160500</v>
      </c>
      <c r="F9" s="38"/>
      <c r="G9" s="394"/>
      <c r="H9" s="38"/>
      <c r="I9" s="393"/>
      <c r="J9" s="38"/>
      <c r="K9" s="27"/>
      <c r="L9" s="2"/>
      <c r="M9" s="2"/>
      <c r="N9" s="2"/>
      <c r="O9" s="2"/>
      <c r="P9" s="2"/>
      <c r="Q9" s="2"/>
      <c r="R9" s="2"/>
      <c r="S9" s="2"/>
      <c r="T9" s="395">
        <f>+E6</f>
        <v>148097730.6</v>
      </c>
      <c r="U9" s="396">
        <f>+T9/T10</f>
        <v>1275.19475</v>
      </c>
      <c r="V9" s="2"/>
      <c r="W9" s="2"/>
    </row>
    <row r="10" ht="13.5" customHeight="1">
      <c r="A10" s="27"/>
      <c r="B10" s="38"/>
      <c r="C10" s="388"/>
      <c r="D10" s="2"/>
      <c r="E10" s="2"/>
      <c r="F10" s="38"/>
      <c r="G10" s="394"/>
      <c r="H10" s="38"/>
      <c r="I10" s="393"/>
      <c r="J10" s="38"/>
      <c r="K10" s="27"/>
      <c r="L10" s="2"/>
      <c r="M10" s="2"/>
      <c r="N10" s="2"/>
      <c r="O10" s="2"/>
      <c r="P10" s="2"/>
      <c r="Q10" s="2"/>
      <c r="R10" s="2"/>
      <c r="S10" s="2"/>
      <c r="T10" s="396">
        <f>+E9-H6-H7</f>
        <v>116137.3434</v>
      </c>
      <c r="U10" s="2"/>
      <c r="V10" s="2"/>
      <c r="W10" s="2"/>
      <c r="X10" s="2"/>
      <c r="Y10" s="2"/>
      <c r="Z10" s="2"/>
    </row>
    <row r="11" ht="13.5" customHeight="1">
      <c r="A11" s="27"/>
      <c r="B11" s="38"/>
      <c r="C11" s="397"/>
      <c r="D11" s="398"/>
      <c r="E11" s="398"/>
      <c r="F11" s="266"/>
      <c r="G11" s="399"/>
      <c r="H11" s="266"/>
      <c r="I11" s="400"/>
      <c r="J11" s="38"/>
      <c r="K11" s="27"/>
      <c r="L11" s="2"/>
      <c r="M11" s="2"/>
      <c r="N11" s="2"/>
      <c r="O11" s="2"/>
      <c r="P11" s="2"/>
      <c r="Q11" s="2"/>
      <c r="R11" s="2"/>
      <c r="S11" s="2"/>
      <c r="T11" s="2"/>
      <c r="U11" s="2"/>
      <c r="V11" s="2"/>
      <c r="W11" s="2"/>
      <c r="X11" s="2"/>
      <c r="Y11" s="2"/>
      <c r="Z11" s="2"/>
    </row>
    <row r="12" ht="13.5" customHeight="1">
      <c r="A12" s="27"/>
      <c r="B12" s="38"/>
      <c r="C12" s="38"/>
      <c r="F12" s="28"/>
      <c r="G12" s="38"/>
      <c r="H12" s="38"/>
      <c r="I12" s="38"/>
      <c r="J12" s="38"/>
      <c r="K12" s="27"/>
      <c r="L12" s="2"/>
      <c r="M12" s="2"/>
      <c r="N12" s="2"/>
      <c r="O12" s="2"/>
      <c r="P12" s="2"/>
      <c r="Q12" s="2"/>
      <c r="R12" s="2"/>
      <c r="S12" s="2"/>
      <c r="T12" s="2"/>
      <c r="U12" s="2"/>
      <c r="V12" s="2"/>
      <c r="W12" s="2"/>
    </row>
    <row r="13" ht="16.5" customHeight="1">
      <c r="A13" s="27"/>
      <c r="B13" s="38"/>
      <c r="C13" s="153" t="s">
        <v>329</v>
      </c>
      <c r="D13" s="38"/>
      <c r="E13" s="38"/>
      <c r="F13" s="28"/>
      <c r="G13" s="38"/>
      <c r="H13" s="38"/>
      <c r="I13" s="38"/>
      <c r="J13" s="38"/>
      <c r="K13" s="27"/>
      <c r="L13" s="2"/>
      <c r="M13" s="2"/>
      <c r="N13" s="2"/>
      <c r="O13" s="2"/>
      <c r="P13" s="2"/>
      <c r="Q13" s="2"/>
      <c r="R13" s="2"/>
      <c r="S13" s="2"/>
      <c r="T13" s="2"/>
      <c r="U13" s="2"/>
      <c r="V13" s="2"/>
      <c r="W13" s="2"/>
      <c r="X13" s="2"/>
      <c r="Y13" s="2"/>
      <c r="Z13" s="2"/>
    </row>
    <row r="14" ht="13.5" customHeight="1">
      <c r="A14" s="27"/>
      <c r="B14" s="38"/>
      <c r="C14" s="38"/>
      <c r="D14" s="38"/>
      <c r="E14" s="38"/>
      <c r="F14" s="28"/>
      <c r="G14" s="38"/>
      <c r="H14" s="38"/>
      <c r="I14" s="38"/>
      <c r="J14" s="38"/>
      <c r="K14" s="27"/>
      <c r="L14" s="2"/>
      <c r="M14" s="2"/>
      <c r="N14" s="2"/>
      <c r="O14" s="2"/>
      <c r="P14" s="2"/>
      <c r="Q14" s="2"/>
      <c r="R14" s="2"/>
      <c r="S14" s="2"/>
      <c r="T14" s="396">
        <f>+T9-E7</f>
        <v>13910600</v>
      </c>
      <c r="U14" s="396">
        <f>+T14/T15</f>
        <v>119.77715</v>
      </c>
      <c r="V14" s="2"/>
      <c r="W14" s="2"/>
      <c r="X14" s="2"/>
      <c r="Y14" s="2"/>
      <c r="Z14" s="2"/>
    </row>
    <row r="15" ht="13.5" customHeight="1">
      <c r="A15" s="27"/>
      <c r="B15" s="38"/>
      <c r="C15" s="380"/>
      <c r="D15" s="380"/>
      <c r="E15" s="401"/>
      <c r="F15" s="376"/>
      <c r="G15" s="402" t="s">
        <v>330</v>
      </c>
      <c r="H15" s="380"/>
      <c r="I15" s="380"/>
      <c r="J15" s="38"/>
      <c r="K15" s="27"/>
      <c r="L15" s="2"/>
      <c r="M15" s="2"/>
      <c r="N15" s="2"/>
      <c r="O15" s="2"/>
      <c r="P15" s="2"/>
      <c r="Q15" s="2"/>
      <c r="R15" s="2"/>
      <c r="S15" s="2"/>
      <c r="T15" s="396">
        <f>+T10</f>
        <v>116137.3434</v>
      </c>
      <c r="U15" s="2"/>
      <c r="V15" s="2"/>
      <c r="W15" s="2"/>
      <c r="X15" s="2"/>
      <c r="Y15" s="2"/>
      <c r="Z15" s="2"/>
    </row>
    <row r="16" ht="14.25" customHeight="1">
      <c r="A16" s="27"/>
      <c r="B16" s="28"/>
      <c r="C16" s="380"/>
      <c r="D16" s="380"/>
      <c r="E16" s="380"/>
      <c r="F16" s="380"/>
      <c r="G16" s="403" t="s">
        <v>331</v>
      </c>
      <c r="H16" s="380"/>
      <c r="I16" s="380"/>
      <c r="J16" s="28"/>
      <c r="K16" s="27"/>
      <c r="L16" s="2"/>
      <c r="M16" s="2"/>
      <c r="N16" s="2"/>
      <c r="O16" s="2"/>
      <c r="P16" s="2"/>
      <c r="Q16" s="2"/>
      <c r="R16" s="2"/>
      <c r="S16" s="2"/>
      <c r="T16" s="2"/>
      <c r="U16" s="2"/>
      <c r="V16" s="2"/>
      <c r="W16" s="2"/>
      <c r="X16" s="2"/>
      <c r="Y16" s="2"/>
      <c r="Z16" s="2"/>
    </row>
    <row r="17" ht="13.5" customHeight="1">
      <c r="A17" s="27"/>
      <c r="B17" s="28"/>
      <c r="C17" s="380"/>
      <c r="E17" s="404"/>
      <c r="F17" s="404"/>
      <c r="G17" s="403" t="s">
        <v>332</v>
      </c>
      <c r="H17" s="404"/>
      <c r="I17" s="404"/>
      <c r="J17" s="28"/>
      <c r="K17" s="27"/>
      <c r="L17" s="2"/>
      <c r="M17" s="2"/>
      <c r="N17" s="2"/>
      <c r="O17" s="2"/>
      <c r="P17" s="2"/>
      <c r="Q17" s="2"/>
      <c r="R17" s="2"/>
      <c r="S17" s="2"/>
      <c r="T17" s="2"/>
      <c r="U17" s="2"/>
      <c r="V17" s="2"/>
      <c r="W17" s="2"/>
      <c r="X17" s="2"/>
      <c r="Y17" s="2"/>
      <c r="Z17" s="2"/>
    </row>
    <row r="18" ht="13.5" customHeight="1">
      <c r="A18" s="27"/>
      <c r="B18" s="28"/>
      <c r="C18" s="380"/>
      <c r="D18" s="405"/>
      <c r="E18" s="403"/>
      <c r="F18" s="403"/>
      <c r="G18" s="403" t="s">
        <v>333</v>
      </c>
      <c r="H18" s="403"/>
      <c r="I18" s="403"/>
      <c r="J18" s="28"/>
      <c r="K18" s="27"/>
      <c r="L18" s="2"/>
      <c r="M18" s="2"/>
      <c r="N18" s="2"/>
      <c r="O18" s="2"/>
      <c r="P18" s="2"/>
      <c r="Q18" s="2"/>
      <c r="R18" s="2"/>
      <c r="S18" s="2"/>
      <c r="T18" s="2"/>
      <c r="U18" s="2"/>
      <c r="V18" s="2"/>
      <c r="W18" s="2"/>
      <c r="X18" s="2"/>
      <c r="Y18" s="2"/>
      <c r="Z18" s="2"/>
    </row>
    <row r="19" ht="13.5" customHeight="1">
      <c r="A19" s="27"/>
      <c r="B19" s="28"/>
      <c r="C19" s="380"/>
      <c r="D19" s="406" t="s">
        <v>334</v>
      </c>
      <c r="E19" s="403"/>
      <c r="F19" s="403"/>
      <c r="G19" s="403" t="s">
        <v>335</v>
      </c>
      <c r="H19" s="403"/>
      <c r="I19" s="403"/>
      <c r="J19" s="28"/>
      <c r="K19" s="27"/>
      <c r="L19" s="2"/>
      <c r="M19" s="2"/>
      <c r="N19" s="2"/>
      <c r="O19" s="2"/>
      <c r="P19" s="2"/>
      <c r="Q19" s="2"/>
      <c r="R19" s="2"/>
      <c r="S19" s="2"/>
      <c r="T19" s="2"/>
      <c r="U19" s="2"/>
      <c r="V19" s="2"/>
      <c r="W19" s="2"/>
      <c r="X19" s="2"/>
      <c r="Y19" s="2"/>
      <c r="Z19" s="2"/>
    </row>
    <row r="20" ht="13.5" customHeight="1">
      <c r="A20" s="27"/>
      <c r="B20" s="28"/>
      <c r="C20" s="380"/>
      <c r="D20" s="407">
        <f>(E6)/(E9-(H6+H7))</f>
        <v>1275.19475</v>
      </c>
      <c r="E20" s="403"/>
      <c r="F20" s="403"/>
      <c r="G20" s="403" t="s">
        <v>336</v>
      </c>
      <c r="H20" s="403"/>
      <c r="I20" s="403"/>
      <c r="J20" s="28"/>
      <c r="K20" s="27"/>
      <c r="L20" s="2"/>
      <c r="M20" s="2"/>
      <c r="N20" s="2"/>
      <c r="O20" s="2"/>
      <c r="P20" s="2"/>
      <c r="Q20" s="2"/>
      <c r="R20" s="2"/>
      <c r="S20" s="2"/>
      <c r="T20" s="2"/>
      <c r="U20" s="2"/>
      <c r="V20" s="2"/>
      <c r="W20" s="2"/>
      <c r="X20" s="2"/>
      <c r="Y20" s="2"/>
      <c r="Z20" s="2"/>
    </row>
    <row r="21" ht="13.5" customHeight="1">
      <c r="A21" s="27"/>
      <c r="B21" s="28"/>
      <c r="C21" s="380"/>
      <c r="D21" s="406"/>
      <c r="E21" s="403"/>
      <c r="F21" s="403"/>
      <c r="G21" s="403" t="s">
        <v>337</v>
      </c>
      <c r="H21" s="403"/>
      <c r="I21" s="403"/>
      <c r="J21" s="28"/>
      <c r="K21" s="27"/>
      <c r="L21" s="2"/>
      <c r="M21" s="2"/>
      <c r="N21" s="2"/>
      <c r="O21" s="2"/>
      <c r="P21" s="2"/>
      <c r="Q21" s="2"/>
      <c r="R21" s="2"/>
      <c r="S21" s="2"/>
      <c r="T21" s="2"/>
      <c r="U21" s="2"/>
      <c r="V21" s="2"/>
      <c r="W21" s="2"/>
      <c r="X21" s="2"/>
      <c r="Y21" s="2"/>
      <c r="Z21" s="2"/>
    </row>
    <row r="22" ht="13.5" customHeight="1">
      <c r="A22" s="27"/>
      <c r="B22" s="28"/>
      <c r="C22" s="408"/>
      <c r="D22" s="409"/>
      <c r="E22" s="410"/>
      <c r="F22" s="410"/>
      <c r="G22" s="410"/>
      <c r="H22" s="410"/>
      <c r="I22" s="410"/>
      <c r="J22" s="28"/>
      <c r="K22" s="27"/>
      <c r="L22" s="2"/>
      <c r="M22" s="2"/>
      <c r="N22" s="2"/>
      <c r="O22" s="2"/>
      <c r="P22" s="2"/>
      <c r="Q22" s="2"/>
      <c r="R22" s="2"/>
      <c r="S22" s="2"/>
      <c r="T22" s="2"/>
      <c r="U22" s="2"/>
      <c r="V22" s="2"/>
      <c r="W22" s="2"/>
      <c r="X22" s="2"/>
      <c r="Y22" s="2"/>
      <c r="Z22" s="2"/>
    </row>
    <row r="23" ht="13.5" customHeight="1">
      <c r="A23" s="27"/>
      <c r="B23" s="28"/>
      <c r="C23" s="380"/>
      <c r="D23" s="406"/>
      <c r="E23" s="403"/>
      <c r="F23" s="403"/>
      <c r="G23" s="403"/>
      <c r="H23" s="403"/>
      <c r="I23" s="403"/>
      <c r="J23" s="28"/>
      <c r="K23" s="27"/>
      <c r="L23" s="2"/>
      <c r="M23" s="2"/>
      <c r="N23" s="2"/>
      <c r="O23" s="2"/>
      <c r="P23" s="2"/>
      <c r="Q23" s="2"/>
      <c r="R23" s="2"/>
      <c r="S23" s="2"/>
      <c r="T23" s="2"/>
      <c r="U23" s="2"/>
      <c r="V23" s="2"/>
      <c r="W23" s="2"/>
      <c r="X23" s="2"/>
      <c r="Y23" s="2"/>
      <c r="Z23" s="2"/>
    </row>
    <row r="24" ht="13.5" customHeight="1">
      <c r="A24" s="27"/>
      <c r="B24" s="28"/>
      <c r="C24" s="380"/>
      <c r="D24" s="406"/>
      <c r="E24" s="403"/>
      <c r="F24" s="403"/>
      <c r="G24" s="403"/>
      <c r="H24" s="403"/>
      <c r="I24" s="403"/>
      <c r="J24" s="28"/>
      <c r="K24" s="27"/>
      <c r="L24" s="2"/>
      <c r="M24" s="2"/>
      <c r="N24" s="2"/>
      <c r="O24" s="2"/>
      <c r="P24" s="2"/>
      <c r="Q24" s="2"/>
      <c r="R24" s="2"/>
      <c r="S24" s="2"/>
      <c r="T24" s="2"/>
      <c r="U24" s="2"/>
      <c r="V24" s="2"/>
      <c r="W24" s="2"/>
      <c r="X24" s="2"/>
      <c r="Y24" s="2"/>
      <c r="Z24" s="2"/>
    </row>
    <row r="25" ht="32.25" customHeight="1">
      <c r="A25" s="27"/>
      <c r="B25" s="28"/>
      <c r="C25" s="380"/>
      <c r="D25" s="406" t="str">
        <f>"Conclusion: si no vendemos como minimo "&amp;INT(D20)&amp;" piezas, 
no va a ser rentable la operacion de la empresa"</f>
        <v>Conclusion: si no vendemos como minimo 1275 piezas, 
no va a ser rentable la operacion de la empresa</v>
      </c>
      <c r="E25" s="403"/>
      <c r="F25" s="403"/>
      <c r="G25" s="403"/>
      <c r="H25" s="403"/>
      <c r="I25" s="403"/>
      <c r="J25" s="28"/>
      <c r="K25" s="27"/>
      <c r="L25" s="2"/>
      <c r="M25" s="2"/>
      <c r="N25" s="2"/>
      <c r="O25" s="2"/>
      <c r="P25" s="2"/>
      <c r="Q25" s="2"/>
      <c r="R25" s="2"/>
      <c r="S25" s="2"/>
      <c r="T25" s="2"/>
      <c r="U25" s="2"/>
      <c r="V25" s="2"/>
      <c r="W25" s="2"/>
      <c r="X25" s="2"/>
      <c r="Y25" s="2"/>
      <c r="Z25" s="2"/>
    </row>
    <row r="26" ht="13.5" customHeight="1">
      <c r="A26" s="27"/>
      <c r="B26" s="28"/>
      <c r="C26" s="411" t="s">
        <v>338</v>
      </c>
      <c r="D26" s="406"/>
      <c r="E26" s="403"/>
      <c r="F26" s="403"/>
      <c r="G26" s="403"/>
      <c r="H26" s="403"/>
      <c r="I26" s="403"/>
      <c r="J26" s="28"/>
      <c r="K26" s="27"/>
      <c r="L26" s="2"/>
      <c r="M26" s="2"/>
      <c r="N26" s="2"/>
      <c r="O26" s="2"/>
      <c r="P26" s="2"/>
      <c r="Q26" s="2"/>
      <c r="R26" s="2"/>
      <c r="S26" s="2"/>
      <c r="T26" s="2"/>
      <c r="U26" s="2"/>
      <c r="V26" s="2"/>
      <c r="W26" s="2"/>
      <c r="X26" s="2"/>
      <c r="Y26" s="2"/>
      <c r="Z26" s="2"/>
    </row>
    <row r="27" ht="13.5" customHeight="1">
      <c r="A27" s="27"/>
      <c r="B27" s="28"/>
      <c r="C27" s="412"/>
      <c r="D27" s="413" t="s">
        <v>339</v>
      </c>
      <c r="E27" s="403"/>
      <c r="F27" s="403"/>
      <c r="G27" s="403"/>
      <c r="H27" s="403"/>
      <c r="I27" s="403"/>
      <c r="J27" s="28"/>
      <c r="K27" s="27"/>
      <c r="L27" s="2"/>
      <c r="M27" s="2"/>
      <c r="N27" s="2"/>
      <c r="O27" s="2"/>
      <c r="P27" s="2"/>
      <c r="Q27" s="2"/>
      <c r="R27" s="2"/>
      <c r="S27" s="2"/>
      <c r="T27" s="2"/>
      <c r="U27" s="2"/>
      <c r="V27" s="2"/>
      <c r="W27" s="2"/>
      <c r="X27" s="2"/>
      <c r="Y27" s="2"/>
      <c r="Z27" s="2"/>
    </row>
    <row r="28" ht="14.25" customHeight="1">
      <c r="A28" s="27"/>
      <c r="B28" s="28"/>
      <c r="C28" s="380"/>
      <c r="D28" s="411" t="s">
        <v>340</v>
      </c>
      <c r="E28" s="380"/>
      <c r="F28" s="380"/>
      <c r="G28" s="380"/>
      <c r="H28" s="380"/>
      <c r="I28" s="380"/>
      <c r="J28" s="28"/>
      <c r="K28" s="27"/>
      <c r="L28" s="2"/>
      <c r="M28" s="2"/>
      <c r="N28" s="2"/>
      <c r="O28" s="2"/>
      <c r="P28" s="2"/>
      <c r="Q28" s="2"/>
      <c r="R28" s="2"/>
      <c r="S28" s="2"/>
      <c r="T28" s="2"/>
      <c r="U28" s="2"/>
      <c r="V28" s="2"/>
      <c r="W28" s="2"/>
    </row>
    <row r="29" ht="14.25" customHeight="1">
      <c r="A29" s="27"/>
      <c r="B29" s="28"/>
      <c r="C29" s="38"/>
      <c r="D29" s="38"/>
      <c r="E29" s="38"/>
      <c r="F29" s="38"/>
      <c r="G29" s="38"/>
      <c r="H29" s="38"/>
      <c r="I29" s="38"/>
      <c r="J29" s="28"/>
      <c r="K29" s="27"/>
      <c r="L29" s="2"/>
      <c r="M29" s="2"/>
      <c r="N29" s="2"/>
      <c r="O29" s="2"/>
      <c r="P29" s="2"/>
      <c r="Q29" s="2"/>
      <c r="R29" s="2"/>
      <c r="S29" s="2"/>
      <c r="T29" s="2"/>
      <c r="U29" s="2"/>
      <c r="V29" s="2"/>
      <c r="W29" s="2"/>
    </row>
    <row r="30" ht="17.25" customHeight="1">
      <c r="A30" s="27"/>
      <c r="B30" s="28"/>
      <c r="C30" s="153" t="s">
        <v>341</v>
      </c>
      <c r="D30" s="38"/>
      <c r="E30" s="38"/>
      <c r="F30" s="38"/>
      <c r="G30" s="38"/>
      <c r="H30" s="38"/>
      <c r="I30" s="38"/>
      <c r="J30" s="28"/>
      <c r="K30" s="27"/>
      <c r="L30" s="2"/>
      <c r="M30" s="2"/>
      <c r="N30" s="2"/>
      <c r="O30" s="2"/>
      <c r="P30" s="2"/>
      <c r="Q30" s="2"/>
      <c r="R30" s="2"/>
      <c r="S30" s="2"/>
      <c r="T30" s="2"/>
      <c r="U30" s="2"/>
      <c r="V30" s="2"/>
      <c r="W30" s="2"/>
    </row>
    <row r="31" ht="14.25" customHeight="1">
      <c r="A31" s="27"/>
      <c r="B31" s="28"/>
      <c r="C31" s="38"/>
      <c r="D31" s="38"/>
      <c r="E31" s="38"/>
      <c r="F31" s="38"/>
      <c r="G31" s="38"/>
      <c r="H31" s="38"/>
      <c r="I31" s="38"/>
      <c r="J31" s="28"/>
      <c r="K31" s="27"/>
      <c r="L31" s="2"/>
      <c r="M31" s="2"/>
      <c r="N31" s="2"/>
      <c r="O31" s="2"/>
      <c r="P31" s="2"/>
      <c r="Q31" s="2"/>
      <c r="R31" s="2"/>
      <c r="S31" s="2"/>
      <c r="T31" s="2"/>
      <c r="U31" s="2"/>
      <c r="V31" s="2"/>
      <c r="W31" s="2"/>
    </row>
    <row r="32" ht="13.5" customHeight="1">
      <c r="A32" s="27"/>
      <c r="B32" s="38"/>
      <c r="C32" s="380"/>
      <c r="D32" s="380"/>
      <c r="E32" s="401"/>
      <c r="F32" s="376"/>
      <c r="G32" s="380"/>
      <c r="H32" s="380"/>
      <c r="I32" s="380"/>
      <c r="J32" s="38"/>
      <c r="K32" s="27"/>
      <c r="L32" s="2"/>
      <c r="M32" s="2"/>
      <c r="N32" s="2"/>
      <c r="O32" s="2"/>
      <c r="P32" s="2"/>
      <c r="Q32" s="2"/>
      <c r="R32" s="2"/>
      <c r="S32" s="2"/>
      <c r="T32" s="2"/>
      <c r="U32" s="2"/>
      <c r="V32" s="2"/>
      <c r="W32" s="2"/>
      <c r="X32" s="2"/>
      <c r="Y32" s="2"/>
      <c r="Z32" s="2"/>
    </row>
    <row r="33" ht="13.5" customHeight="1">
      <c r="A33" s="27"/>
      <c r="B33" s="38"/>
      <c r="C33" s="380"/>
      <c r="D33" s="380"/>
      <c r="E33" s="380"/>
      <c r="F33" s="380"/>
      <c r="G33" s="380"/>
      <c r="H33" s="380"/>
      <c r="I33" s="380"/>
      <c r="J33" s="38"/>
      <c r="K33" s="27"/>
      <c r="L33" s="2"/>
      <c r="M33" s="2"/>
      <c r="N33" s="2"/>
      <c r="O33" s="2"/>
      <c r="P33" s="2"/>
      <c r="Q33" s="2"/>
      <c r="R33" s="2"/>
      <c r="S33" s="2"/>
      <c r="T33" s="2"/>
      <c r="U33" s="2"/>
      <c r="V33" s="2"/>
      <c r="W33" s="2"/>
      <c r="X33" s="2"/>
      <c r="Y33" s="2"/>
      <c r="Z33" s="2"/>
    </row>
    <row r="34" ht="14.25" customHeight="1">
      <c r="A34" s="27"/>
      <c r="B34" s="28"/>
      <c r="C34" s="380"/>
      <c r="D34" s="404"/>
      <c r="E34" s="404"/>
      <c r="F34" s="404"/>
      <c r="G34" s="402" t="s">
        <v>330</v>
      </c>
      <c r="H34" s="404"/>
      <c r="I34" s="404"/>
      <c r="J34" s="28"/>
      <c r="K34" s="27"/>
      <c r="L34" s="2"/>
      <c r="M34" s="2"/>
      <c r="N34" s="2"/>
      <c r="O34" s="2"/>
      <c r="P34" s="2"/>
      <c r="Q34" s="2"/>
      <c r="R34" s="2"/>
      <c r="S34" s="2"/>
      <c r="T34" s="2"/>
      <c r="U34" s="2"/>
      <c r="V34" s="2"/>
      <c r="W34" s="2"/>
      <c r="X34" s="2"/>
      <c r="Y34" s="2"/>
      <c r="Z34" s="2"/>
    </row>
    <row r="35" ht="13.5" customHeight="1">
      <c r="A35" s="27"/>
      <c r="B35" s="28"/>
      <c r="C35" s="380"/>
      <c r="D35" s="405"/>
      <c r="E35" s="403"/>
      <c r="F35" s="403"/>
      <c r="G35" s="403" t="s">
        <v>331</v>
      </c>
      <c r="H35" s="403"/>
      <c r="I35" s="403"/>
      <c r="J35" s="28"/>
      <c r="K35" s="27"/>
      <c r="L35" s="2"/>
      <c r="M35" s="2"/>
      <c r="N35" s="2"/>
      <c r="O35" s="2"/>
      <c r="P35" s="2"/>
      <c r="Q35" s="2"/>
      <c r="R35" s="2"/>
      <c r="S35" s="2"/>
      <c r="T35" s="2"/>
      <c r="U35" s="2"/>
      <c r="V35" s="2"/>
      <c r="W35" s="2"/>
      <c r="X35" s="2"/>
      <c r="Y35" s="2"/>
      <c r="Z35" s="2"/>
    </row>
    <row r="36" ht="13.5" customHeight="1">
      <c r="A36" s="27"/>
      <c r="B36" s="28"/>
      <c r="C36" s="380"/>
      <c r="D36" s="406" t="s">
        <v>342</v>
      </c>
      <c r="E36" s="403"/>
      <c r="F36" s="403"/>
      <c r="G36" s="403" t="s">
        <v>332</v>
      </c>
      <c r="H36" s="403"/>
      <c r="I36" s="403"/>
      <c r="J36" s="28"/>
      <c r="K36" s="27"/>
      <c r="L36" s="2"/>
      <c r="M36" s="2"/>
      <c r="N36" s="2"/>
      <c r="O36" s="2"/>
      <c r="P36" s="2"/>
      <c r="Q36" s="2"/>
      <c r="R36" s="2"/>
      <c r="S36" s="2"/>
      <c r="T36" s="2"/>
      <c r="U36" s="2"/>
      <c r="V36" s="2"/>
      <c r="W36" s="2"/>
      <c r="X36" s="2"/>
      <c r="Y36" s="2"/>
      <c r="Z36" s="2"/>
    </row>
    <row r="37" ht="13.5" customHeight="1">
      <c r="A37" s="27"/>
      <c r="B37" s="28"/>
      <c r="C37" s="380"/>
      <c r="D37" s="406">
        <f>E7/(E9-(H6+H7))</f>
        <v>1155.4176</v>
      </c>
      <c r="E37" s="403"/>
      <c r="F37" s="403"/>
      <c r="G37" s="403" t="s">
        <v>333</v>
      </c>
      <c r="H37" s="403"/>
      <c r="I37" s="403"/>
      <c r="J37" s="28"/>
      <c r="K37" s="27"/>
      <c r="L37" s="2"/>
      <c r="M37" s="2"/>
      <c r="N37" s="2"/>
      <c r="O37" s="2"/>
      <c r="P37" s="2"/>
      <c r="Q37" s="2"/>
      <c r="R37" s="2"/>
      <c r="S37" s="2"/>
      <c r="T37" s="2"/>
      <c r="U37" s="2"/>
      <c r="V37" s="2"/>
      <c r="W37" s="2"/>
      <c r="X37" s="2"/>
      <c r="Y37" s="2"/>
      <c r="Z37" s="2"/>
    </row>
    <row r="38" ht="13.5" customHeight="1">
      <c r="A38" s="27"/>
      <c r="B38" s="28"/>
      <c r="C38" s="380"/>
      <c r="D38" s="406"/>
      <c r="E38" s="403"/>
      <c r="F38" s="403"/>
      <c r="G38" s="403" t="s">
        <v>335</v>
      </c>
      <c r="H38" s="403"/>
      <c r="I38" s="403"/>
      <c r="J38" s="28"/>
      <c r="K38" s="27"/>
      <c r="L38" s="2"/>
      <c r="M38" s="2"/>
      <c r="N38" s="2"/>
      <c r="O38" s="2"/>
      <c r="P38" s="2"/>
      <c r="Q38" s="2"/>
      <c r="R38" s="2"/>
      <c r="S38" s="2"/>
      <c r="T38" s="2"/>
      <c r="U38" s="2"/>
      <c r="V38" s="2"/>
      <c r="W38" s="2"/>
      <c r="X38" s="2"/>
      <c r="Y38" s="2"/>
      <c r="Z38" s="2"/>
    </row>
    <row r="39" ht="13.5" customHeight="1">
      <c r="A39" s="27"/>
      <c r="B39" s="28"/>
      <c r="C39" s="380"/>
      <c r="D39" s="409"/>
      <c r="E39" s="410"/>
      <c r="F39" s="410"/>
      <c r="G39" s="403" t="s">
        <v>343</v>
      </c>
      <c r="H39" s="410"/>
      <c r="I39" s="410"/>
      <c r="J39" s="28"/>
      <c r="K39" s="27"/>
      <c r="L39" s="2"/>
      <c r="M39" s="2"/>
      <c r="N39" s="2"/>
      <c r="O39" s="2"/>
      <c r="P39" s="2"/>
      <c r="Q39" s="2"/>
      <c r="R39" s="2"/>
      <c r="S39" s="2"/>
      <c r="T39" s="2"/>
      <c r="U39" s="2"/>
      <c r="V39" s="2"/>
      <c r="W39" s="2"/>
      <c r="X39" s="2"/>
      <c r="Y39" s="2"/>
      <c r="Z39" s="2"/>
    </row>
    <row r="40" ht="30.0" customHeight="1">
      <c r="A40" s="27"/>
      <c r="B40" s="28"/>
      <c r="C40" s="408"/>
      <c r="D40" s="406" t="str">
        <f>"Conclusion: si no vendemos como minimo "&amp;INT(D37)&amp;" termos, 
no tendriamos la liquidez para seguir operando"</f>
        <v>Conclusion: si no vendemos como minimo 1155 termos, 
no tendriamos la liquidez para seguir operando</v>
      </c>
      <c r="E40" s="403"/>
      <c r="F40" s="403"/>
      <c r="G40" s="403" t="s">
        <v>337</v>
      </c>
      <c r="H40" s="403"/>
      <c r="I40" s="403"/>
      <c r="J40" s="28"/>
      <c r="K40" s="27"/>
      <c r="L40" s="2"/>
      <c r="M40" s="2"/>
      <c r="N40" s="2"/>
      <c r="O40" s="2"/>
      <c r="P40" s="2"/>
      <c r="Q40" s="2"/>
      <c r="R40" s="2"/>
      <c r="S40" s="2"/>
      <c r="T40" s="2"/>
      <c r="U40" s="2"/>
      <c r="V40" s="2"/>
      <c r="W40" s="2"/>
      <c r="X40" s="2"/>
      <c r="Y40" s="2"/>
      <c r="Z40" s="2"/>
    </row>
    <row r="41" ht="13.5" customHeight="1">
      <c r="A41" s="27"/>
      <c r="B41" s="28"/>
      <c r="C41" s="380"/>
      <c r="D41" s="406"/>
      <c r="E41" s="403"/>
      <c r="F41" s="403"/>
      <c r="G41" s="403"/>
      <c r="H41" s="403"/>
      <c r="I41" s="403"/>
      <c r="J41" s="28"/>
      <c r="K41" s="27"/>
      <c r="L41" s="2"/>
      <c r="M41" s="2"/>
      <c r="N41" s="2"/>
      <c r="O41" s="2"/>
      <c r="P41" s="2"/>
      <c r="Q41" s="2"/>
      <c r="R41" s="2"/>
      <c r="S41" s="2"/>
      <c r="T41" s="2"/>
      <c r="U41" s="2"/>
      <c r="V41" s="2"/>
      <c r="W41" s="2"/>
      <c r="X41" s="2"/>
      <c r="Y41" s="2"/>
      <c r="Z41" s="2"/>
    </row>
    <row r="42" ht="13.5" customHeight="1">
      <c r="A42" s="27"/>
      <c r="B42" s="28"/>
      <c r="C42" s="411" t="s">
        <v>344</v>
      </c>
      <c r="D42" s="406"/>
      <c r="E42" s="403"/>
      <c r="F42" s="403"/>
      <c r="G42" s="403"/>
      <c r="H42" s="403"/>
      <c r="I42" s="403"/>
      <c r="J42" s="28"/>
      <c r="K42" s="27"/>
      <c r="L42" s="2"/>
      <c r="M42" s="2"/>
      <c r="N42" s="2"/>
      <c r="O42" s="2"/>
      <c r="P42" s="2"/>
      <c r="Q42" s="2"/>
      <c r="R42" s="2"/>
      <c r="S42" s="2"/>
      <c r="T42" s="2"/>
      <c r="U42" s="2"/>
      <c r="V42" s="2"/>
      <c r="W42" s="2"/>
      <c r="X42" s="2"/>
      <c r="Y42" s="2"/>
      <c r="Z42" s="2"/>
    </row>
    <row r="43" ht="13.5" customHeight="1">
      <c r="A43" s="27"/>
      <c r="B43" s="28"/>
      <c r="C43" s="411" t="s">
        <v>345</v>
      </c>
      <c r="D43" s="406"/>
      <c r="E43" s="403"/>
      <c r="F43" s="403"/>
      <c r="G43" s="403"/>
      <c r="H43" s="403"/>
      <c r="I43" s="403"/>
      <c r="J43" s="28"/>
      <c r="K43" s="27"/>
      <c r="L43" s="2"/>
      <c r="M43" s="2"/>
      <c r="N43" s="2"/>
      <c r="O43" s="2"/>
      <c r="P43" s="2"/>
      <c r="Q43" s="2"/>
      <c r="R43" s="2"/>
      <c r="S43" s="2"/>
      <c r="T43" s="2"/>
      <c r="U43" s="2"/>
      <c r="V43" s="2"/>
      <c r="W43" s="2"/>
      <c r="X43" s="2"/>
      <c r="Y43" s="2"/>
      <c r="Z43" s="2"/>
    </row>
    <row r="44" ht="13.5" customHeight="1">
      <c r="A44" s="27"/>
      <c r="B44" s="28"/>
      <c r="C44" s="411" t="s">
        <v>346</v>
      </c>
      <c r="D44" s="409"/>
      <c r="E44" s="403"/>
      <c r="F44" s="403"/>
      <c r="G44" s="403"/>
      <c r="H44" s="403"/>
      <c r="I44" s="403"/>
      <c r="J44" s="28"/>
      <c r="K44" s="27"/>
      <c r="L44" s="2"/>
      <c r="M44" s="2"/>
      <c r="N44" s="2"/>
      <c r="O44" s="2"/>
      <c r="P44" s="2"/>
      <c r="Q44" s="2"/>
      <c r="R44" s="2"/>
      <c r="S44" s="2"/>
      <c r="T44" s="2"/>
      <c r="U44" s="2"/>
      <c r="V44" s="2"/>
      <c r="W44" s="2"/>
      <c r="X44" s="2"/>
      <c r="Y44" s="2"/>
      <c r="Z44" s="2"/>
    </row>
    <row r="45" ht="13.5" customHeight="1">
      <c r="A45" s="27"/>
      <c r="B45" s="28"/>
      <c r="C45" s="408"/>
      <c r="D45" s="380"/>
      <c r="E45" s="380"/>
      <c r="F45" s="380"/>
      <c r="G45" s="380"/>
      <c r="H45" s="380"/>
      <c r="I45" s="380"/>
      <c r="J45" s="28"/>
      <c r="K45" s="27"/>
      <c r="L45" s="2"/>
      <c r="M45" s="2"/>
      <c r="N45" s="2"/>
      <c r="O45" s="2"/>
      <c r="P45" s="2"/>
      <c r="Q45" s="2"/>
      <c r="R45" s="2"/>
      <c r="S45" s="2"/>
      <c r="T45" s="2"/>
      <c r="U45" s="2"/>
      <c r="V45" s="2"/>
      <c r="W45" s="2"/>
      <c r="X45" s="2"/>
      <c r="Y45" s="2"/>
      <c r="Z45" s="2"/>
    </row>
    <row r="46" ht="14.25" customHeight="1">
      <c r="A46" s="27"/>
      <c r="B46" s="28"/>
      <c r="C46" s="380"/>
      <c r="D46" s="380"/>
      <c r="E46" s="380"/>
      <c r="F46" s="380"/>
      <c r="G46" s="380"/>
      <c r="H46" s="380"/>
      <c r="I46" s="380"/>
      <c r="J46" s="28"/>
      <c r="K46" s="27"/>
      <c r="L46" s="2"/>
      <c r="M46" s="2"/>
      <c r="N46" s="2"/>
      <c r="O46" s="2"/>
      <c r="P46" s="2"/>
      <c r="Q46" s="2"/>
      <c r="R46" s="2"/>
      <c r="S46" s="2"/>
      <c r="T46" s="2"/>
      <c r="U46" s="2"/>
      <c r="V46" s="2"/>
      <c r="W46" s="2"/>
      <c r="X46" s="2"/>
      <c r="Y46" s="2"/>
      <c r="Z46" s="2"/>
    </row>
    <row r="47" ht="15.75" customHeight="1">
      <c r="A47" s="27"/>
      <c r="B47" s="28"/>
      <c r="C47" s="28"/>
      <c r="D47" s="28"/>
      <c r="E47" s="28"/>
      <c r="F47" s="28"/>
      <c r="G47" s="28"/>
      <c r="H47" s="28"/>
      <c r="I47" s="28"/>
      <c r="J47" s="28"/>
      <c r="K47" s="27"/>
      <c r="L47" s="2"/>
      <c r="M47" s="2"/>
      <c r="N47" s="2"/>
      <c r="O47" s="2"/>
      <c r="P47" s="2"/>
      <c r="Q47" s="2"/>
      <c r="R47" s="2"/>
      <c r="S47" s="2"/>
      <c r="T47" s="2"/>
      <c r="U47" s="2"/>
      <c r="V47" s="2"/>
      <c r="W47" s="2"/>
    </row>
    <row r="48" ht="15.75" customHeight="1">
      <c r="A48" s="27"/>
      <c r="B48" s="27"/>
      <c r="C48" s="27"/>
      <c r="D48" s="27"/>
      <c r="E48" s="27"/>
      <c r="F48" s="27"/>
      <c r="G48" s="27"/>
      <c r="H48" s="27"/>
      <c r="I48" s="27"/>
      <c r="J48" s="27"/>
      <c r="K48" s="27"/>
      <c r="L48" s="2"/>
      <c r="M48" s="2"/>
      <c r="N48" s="2"/>
      <c r="O48" s="2"/>
      <c r="P48" s="2"/>
      <c r="Q48" s="2"/>
      <c r="R48" s="2"/>
      <c r="S48" s="2"/>
      <c r="T48" s="2"/>
      <c r="U48" s="2"/>
      <c r="V48" s="2"/>
      <c r="W48" s="2"/>
    </row>
    <row r="49" ht="15.75" customHeight="1">
      <c r="A49" s="2"/>
      <c r="B49" s="2"/>
      <c r="C49" s="2"/>
      <c r="D49" s="2"/>
      <c r="E49" s="2"/>
      <c r="F49" s="2"/>
      <c r="G49" s="2"/>
      <c r="H49" s="2"/>
      <c r="I49" s="2"/>
      <c r="J49" s="2"/>
      <c r="K49" s="2"/>
      <c r="L49" s="2"/>
      <c r="M49" s="2"/>
      <c r="N49" s="2"/>
      <c r="O49" s="2"/>
      <c r="P49" s="2"/>
      <c r="Q49" s="2"/>
      <c r="R49" s="2"/>
      <c r="S49" s="2"/>
      <c r="T49" s="2"/>
      <c r="U49" s="2"/>
      <c r="V49" s="2"/>
      <c r="W49" s="2"/>
    </row>
    <row r="50" ht="15.75" customHeight="1">
      <c r="A50" s="2"/>
      <c r="B50" s="2"/>
      <c r="C50" s="2"/>
      <c r="D50" s="2"/>
      <c r="E50" s="2"/>
      <c r="F50" s="2"/>
      <c r="G50" s="2"/>
      <c r="H50" s="2"/>
      <c r="I50" s="2"/>
      <c r="J50" s="2"/>
      <c r="K50" s="2"/>
      <c r="L50" s="2"/>
      <c r="M50" s="2"/>
      <c r="N50" s="2"/>
      <c r="O50" s="2"/>
      <c r="P50" s="2"/>
      <c r="Q50" s="2"/>
      <c r="R50" s="2"/>
      <c r="S50" s="2"/>
      <c r="T50" s="2"/>
      <c r="U50" s="2"/>
      <c r="V50" s="2"/>
      <c r="W50" s="2"/>
    </row>
    <row r="51" ht="15.75" customHeight="1">
      <c r="A51" s="2"/>
      <c r="B51" s="2"/>
      <c r="C51" s="2"/>
      <c r="D51" s="2"/>
      <c r="E51" s="2"/>
      <c r="F51" s="2"/>
      <c r="G51" s="2"/>
      <c r="H51" s="2"/>
      <c r="I51" s="2"/>
      <c r="J51" s="2"/>
      <c r="K51" s="2"/>
      <c r="L51" s="2"/>
      <c r="M51" s="2"/>
      <c r="N51" s="2"/>
      <c r="O51" s="2"/>
      <c r="P51" s="2"/>
      <c r="Q51" s="2"/>
      <c r="R51" s="2"/>
      <c r="S51" s="2"/>
      <c r="T51" s="2"/>
      <c r="U51" s="2"/>
      <c r="V51" s="2"/>
      <c r="W51" s="2"/>
    </row>
    <row r="52" ht="15.75" customHeight="1">
      <c r="A52" s="2"/>
      <c r="B52" s="2"/>
      <c r="C52" s="2"/>
      <c r="D52" s="2"/>
      <c r="E52" s="2"/>
      <c r="F52" s="2"/>
      <c r="G52" s="2"/>
      <c r="H52" s="2"/>
      <c r="I52" s="2"/>
      <c r="J52" s="2"/>
      <c r="K52" s="2"/>
      <c r="L52" s="2"/>
      <c r="M52" s="2"/>
      <c r="N52" s="2"/>
      <c r="O52" s="2"/>
      <c r="P52" s="2"/>
      <c r="Q52" s="2"/>
      <c r="R52" s="2"/>
      <c r="S52" s="2"/>
      <c r="T52" s="2"/>
      <c r="U52" s="2"/>
      <c r="V52" s="2"/>
      <c r="W52" s="2"/>
    </row>
    <row r="53" ht="15.75" customHeight="1">
      <c r="A53" s="2"/>
      <c r="B53" s="2"/>
      <c r="C53" s="2"/>
      <c r="D53" s="2"/>
      <c r="E53" s="2"/>
      <c r="F53" s="2"/>
      <c r="G53" s="2"/>
      <c r="H53" s="2"/>
      <c r="I53" s="2"/>
      <c r="J53" s="2"/>
      <c r="K53" s="2"/>
      <c r="L53" s="2"/>
      <c r="M53" s="2"/>
      <c r="N53" s="2"/>
      <c r="O53" s="2"/>
      <c r="P53" s="2"/>
      <c r="Q53" s="2"/>
      <c r="R53" s="2"/>
      <c r="S53" s="2"/>
      <c r="T53" s="2"/>
      <c r="U53" s="2"/>
      <c r="V53" s="2"/>
      <c r="W53" s="2"/>
    </row>
    <row r="54" ht="15.75" customHeight="1">
      <c r="A54" s="2"/>
      <c r="B54" s="2"/>
      <c r="C54" s="2"/>
      <c r="D54" s="2"/>
      <c r="E54" s="2"/>
      <c r="F54" s="2"/>
      <c r="G54" s="2"/>
      <c r="H54" s="2"/>
      <c r="I54" s="2"/>
      <c r="J54" s="2"/>
      <c r="K54" s="2"/>
      <c r="L54" s="2"/>
      <c r="M54" s="2"/>
      <c r="N54" s="2"/>
      <c r="O54" s="2"/>
      <c r="P54" s="2"/>
      <c r="Q54" s="2"/>
      <c r="R54" s="2"/>
      <c r="S54" s="2"/>
      <c r="T54" s="2"/>
      <c r="U54" s="2"/>
      <c r="V54" s="2"/>
      <c r="W54" s="2"/>
    </row>
    <row r="55" ht="15.75" customHeight="1">
      <c r="A55" s="2"/>
      <c r="B55" s="2"/>
      <c r="C55" s="2"/>
      <c r="D55" s="2"/>
      <c r="E55" s="2"/>
      <c r="F55" s="2"/>
      <c r="G55" s="2"/>
      <c r="H55" s="2"/>
      <c r="I55" s="2"/>
      <c r="J55" s="2"/>
      <c r="K55" s="2"/>
      <c r="L55" s="2"/>
      <c r="M55" s="2"/>
      <c r="N55" s="2"/>
      <c r="O55" s="2"/>
      <c r="P55" s="2"/>
      <c r="Q55" s="2"/>
      <c r="R55" s="2"/>
      <c r="S55" s="2"/>
      <c r="T55" s="2"/>
      <c r="U55" s="2"/>
      <c r="V55" s="2"/>
      <c r="W55" s="2"/>
    </row>
    <row r="56" ht="15.75" customHeight="1">
      <c r="A56" s="2"/>
      <c r="B56" s="2"/>
      <c r="C56" s="2"/>
      <c r="D56" s="2"/>
      <c r="E56" s="2"/>
      <c r="F56" s="2"/>
      <c r="G56" s="2"/>
      <c r="H56" s="2"/>
      <c r="I56" s="2"/>
      <c r="J56" s="2"/>
      <c r="K56" s="2"/>
      <c r="L56" s="2"/>
      <c r="M56" s="2"/>
      <c r="N56" s="2"/>
      <c r="O56" s="2"/>
      <c r="P56" s="2"/>
      <c r="Q56" s="2"/>
      <c r="R56" s="2"/>
      <c r="S56" s="2"/>
      <c r="T56" s="2"/>
      <c r="U56" s="2"/>
      <c r="V56" s="2"/>
      <c r="W56" s="2"/>
    </row>
    <row r="57" ht="15.75" customHeight="1">
      <c r="A57" s="2"/>
      <c r="B57" s="2"/>
      <c r="C57" s="2"/>
      <c r="D57" s="2"/>
      <c r="E57" s="2"/>
      <c r="F57" s="2"/>
      <c r="G57" s="2"/>
      <c r="H57" s="2"/>
      <c r="I57" s="2"/>
      <c r="J57" s="2"/>
      <c r="K57" s="2"/>
      <c r="L57" s="2"/>
      <c r="M57" s="2"/>
      <c r="N57" s="2"/>
      <c r="O57" s="2"/>
      <c r="P57" s="2"/>
      <c r="Q57" s="2"/>
      <c r="R57" s="2"/>
      <c r="S57" s="2"/>
      <c r="T57" s="2"/>
      <c r="U57" s="2"/>
      <c r="V57" s="2"/>
      <c r="W57" s="2"/>
    </row>
    <row r="58" ht="15.75" customHeight="1">
      <c r="A58" s="2"/>
      <c r="B58" s="2"/>
      <c r="C58" s="2"/>
      <c r="D58" s="2"/>
      <c r="E58" s="2"/>
      <c r="F58" s="2"/>
      <c r="G58" s="2"/>
      <c r="H58" s="2"/>
      <c r="I58" s="2"/>
      <c r="J58" s="2"/>
      <c r="K58" s="2"/>
      <c r="L58" s="2"/>
      <c r="M58" s="2"/>
      <c r="N58" s="2"/>
      <c r="O58" s="2"/>
      <c r="P58" s="2"/>
      <c r="Q58" s="2"/>
      <c r="R58" s="2"/>
      <c r="S58" s="2"/>
      <c r="T58" s="2"/>
      <c r="U58" s="2"/>
      <c r="V58" s="2"/>
      <c r="W58" s="2"/>
    </row>
    <row r="59" ht="15.75" customHeight="1">
      <c r="A59" s="2"/>
      <c r="B59" s="2"/>
      <c r="C59" s="2"/>
      <c r="D59" s="2"/>
      <c r="E59" s="2"/>
      <c r="F59" s="2"/>
      <c r="G59" s="2"/>
      <c r="H59" s="2"/>
      <c r="I59" s="2"/>
      <c r="J59" s="2"/>
      <c r="K59" s="2"/>
      <c r="L59" s="2"/>
      <c r="M59" s="2"/>
      <c r="N59" s="2"/>
      <c r="O59" s="2"/>
      <c r="P59" s="2"/>
      <c r="Q59" s="2"/>
      <c r="R59" s="2"/>
      <c r="S59" s="2"/>
      <c r="T59" s="2"/>
      <c r="U59" s="2"/>
      <c r="V59" s="2"/>
      <c r="W59" s="2"/>
    </row>
    <row r="60" ht="15.75" customHeight="1">
      <c r="A60" s="2"/>
      <c r="B60" s="2"/>
      <c r="C60" s="2"/>
      <c r="D60" s="2"/>
      <c r="E60" s="2"/>
      <c r="F60" s="2"/>
      <c r="G60" s="2"/>
      <c r="H60" s="2"/>
      <c r="I60" s="2"/>
      <c r="J60" s="2"/>
      <c r="K60" s="2"/>
      <c r="L60" s="2"/>
      <c r="M60" s="2"/>
      <c r="N60" s="2"/>
      <c r="O60" s="2"/>
      <c r="P60" s="2"/>
      <c r="Q60" s="2"/>
      <c r="R60" s="2"/>
      <c r="S60" s="2"/>
      <c r="T60" s="2"/>
      <c r="U60" s="2"/>
      <c r="V60" s="2"/>
      <c r="W60" s="2"/>
    </row>
    <row r="61" ht="15.75" customHeight="1">
      <c r="A61" s="2"/>
      <c r="B61" s="2"/>
      <c r="C61" s="2"/>
      <c r="D61" s="2"/>
      <c r="E61" s="2"/>
      <c r="F61" s="2"/>
      <c r="G61" s="2"/>
      <c r="H61" s="2"/>
      <c r="I61" s="2"/>
      <c r="J61" s="2"/>
      <c r="K61" s="2"/>
      <c r="L61" s="2"/>
      <c r="M61" s="2"/>
      <c r="N61" s="2"/>
      <c r="O61" s="2"/>
      <c r="P61" s="2"/>
      <c r="Q61" s="2"/>
      <c r="R61" s="2"/>
      <c r="S61" s="2"/>
      <c r="T61" s="2"/>
      <c r="U61" s="2"/>
      <c r="V61" s="2"/>
      <c r="W61" s="2"/>
    </row>
    <row r="62" ht="15.75" customHeight="1">
      <c r="A62" s="2"/>
      <c r="B62" s="2"/>
      <c r="C62" s="2"/>
      <c r="D62" s="2"/>
      <c r="E62" s="2"/>
      <c r="F62" s="2"/>
      <c r="G62" s="2"/>
      <c r="H62" s="2"/>
      <c r="I62" s="2"/>
      <c r="J62" s="2"/>
      <c r="K62" s="2"/>
      <c r="L62" s="2"/>
      <c r="M62" s="2"/>
      <c r="N62" s="2"/>
      <c r="O62" s="2"/>
      <c r="P62" s="2"/>
      <c r="Q62" s="2"/>
      <c r="R62" s="2"/>
      <c r="S62" s="2"/>
      <c r="T62" s="2"/>
      <c r="U62" s="2"/>
      <c r="V62" s="2"/>
      <c r="W62" s="2"/>
    </row>
    <row r="63" ht="15.75" customHeight="1">
      <c r="A63" s="2"/>
      <c r="B63" s="2"/>
      <c r="C63" s="2"/>
      <c r="D63" s="2"/>
      <c r="E63" s="2"/>
      <c r="F63" s="2"/>
      <c r="G63" s="2"/>
      <c r="H63" s="2"/>
      <c r="I63" s="2"/>
      <c r="J63" s="2"/>
      <c r="K63" s="2"/>
      <c r="L63" s="2"/>
      <c r="M63" s="2"/>
      <c r="N63" s="2"/>
      <c r="O63" s="2"/>
      <c r="P63" s="2"/>
      <c r="Q63" s="2"/>
      <c r="R63" s="2"/>
      <c r="S63" s="2"/>
      <c r="T63" s="2"/>
      <c r="U63" s="2"/>
      <c r="V63" s="2"/>
      <c r="W63" s="2"/>
    </row>
    <row r="64" ht="15.75" customHeight="1">
      <c r="A64" s="2"/>
      <c r="B64" s="2"/>
      <c r="C64" s="2"/>
      <c r="D64" s="2"/>
      <c r="E64" s="2"/>
      <c r="F64" s="2"/>
      <c r="G64" s="2"/>
      <c r="H64" s="2"/>
      <c r="I64" s="2"/>
      <c r="J64" s="2"/>
      <c r="K64" s="2"/>
      <c r="L64" s="2"/>
      <c r="M64" s="2"/>
      <c r="N64" s="2"/>
      <c r="O64" s="2"/>
      <c r="P64" s="2"/>
      <c r="Q64" s="2"/>
      <c r="R64" s="2"/>
      <c r="S64" s="2"/>
      <c r="T64" s="2"/>
      <c r="U64" s="2"/>
      <c r="V64" s="2"/>
      <c r="W64" s="2"/>
    </row>
    <row r="65" ht="15.75" customHeight="1">
      <c r="A65" s="2"/>
      <c r="B65" s="2"/>
      <c r="C65" s="2"/>
      <c r="D65" s="2"/>
      <c r="E65" s="2"/>
      <c r="F65" s="2"/>
      <c r="G65" s="2"/>
      <c r="H65" s="2"/>
      <c r="I65" s="2"/>
      <c r="J65" s="2"/>
      <c r="K65" s="2"/>
      <c r="L65" s="2"/>
      <c r="M65" s="2"/>
      <c r="N65" s="2"/>
      <c r="O65" s="2"/>
      <c r="P65" s="2"/>
      <c r="Q65" s="2"/>
      <c r="R65" s="2"/>
      <c r="S65" s="2"/>
      <c r="T65" s="2"/>
      <c r="U65" s="2"/>
      <c r="V65" s="2"/>
      <c r="W65" s="2"/>
    </row>
    <row r="66" ht="15.75" customHeight="1">
      <c r="A66" s="2"/>
      <c r="B66" s="2"/>
      <c r="C66" s="2"/>
      <c r="D66" s="2"/>
      <c r="E66" s="2"/>
      <c r="F66" s="2"/>
      <c r="G66" s="2"/>
      <c r="H66" s="2"/>
      <c r="I66" s="2"/>
      <c r="J66" s="2"/>
      <c r="K66" s="2"/>
      <c r="L66" s="2"/>
      <c r="M66" s="2"/>
      <c r="N66" s="2"/>
      <c r="O66" s="2"/>
      <c r="P66" s="2"/>
      <c r="Q66" s="2"/>
      <c r="R66" s="2"/>
      <c r="S66" s="2"/>
      <c r="T66" s="2"/>
      <c r="U66" s="2"/>
      <c r="V66" s="2"/>
      <c r="W66" s="2"/>
    </row>
    <row r="67" ht="15.75" customHeight="1">
      <c r="A67" s="2"/>
      <c r="B67" s="2"/>
      <c r="C67" s="2"/>
      <c r="D67" s="2"/>
      <c r="E67" s="2"/>
      <c r="F67" s="2"/>
      <c r="G67" s="2"/>
      <c r="H67" s="2"/>
      <c r="I67" s="2"/>
      <c r="J67" s="2"/>
      <c r="K67" s="2"/>
      <c r="L67" s="2"/>
      <c r="M67" s="2"/>
      <c r="N67" s="2"/>
      <c r="O67" s="2"/>
      <c r="P67" s="2"/>
      <c r="Q67" s="2"/>
      <c r="R67" s="2"/>
      <c r="S67" s="2"/>
      <c r="T67" s="2"/>
      <c r="U67" s="2"/>
      <c r="V67" s="2"/>
      <c r="W67" s="2"/>
    </row>
    <row r="68" ht="15.75" customHeight="1">
      <c r="A68" s="2"/>
      <c r="B68" s="2"/>
      <c r="C68" s="2"/>
      <c r="D68" s="2"/>
      <c r="E68" s="2"/>
      <c r="F68" s="2"/>
      <c r="G68" s="2"/>
      <c r="H68" s="2"/>
      <c r="I68" s="2"/>
      <c r="J68" s="2"/>
      <c r="K68" s="2"/>
      <c r="L68" s="2"/>
      <c r="M68" s="2"/>
      <c r="N68" s="2"/>
      <c r="O68" s="2"/>
      <c r="P68" s="2"/>
      <c r="Q68" s="2"/>
      <c r="R68" s="2"/>
      <c r="S68" s="2"/>
      <c r="T68" s="2"/>
      <c r="U68" s="2"/>
      <c r="V68" s="2"/>
      <c r="W68" s="2"/>
    </row>
    <row r="69" ht="15.75" customHeight="1">
      <c r="A69" s="2"/>
      <c r="B69" s="2"/>
      <c r="C69" s="2"/>
      <c r="D69" s="2"/>
      <c r="E69" s="2"/>
      <c r="F69" s="2"/>
      <c r="G69" s="2"/>
      <c r="H69" s="2"/>
      <c r="I69" s="2"/>
      <c r="J69" s="2"/>
      <c r="K69" s="2"/>
      <c r="L69" s="2"/>
      <c r="M69" s="2"/>
      <c r="N69" s="2"/>
      <c r="O69" s="2"/>
      <c r="P69" s="2"/>
      <c r="Q69" s="2"/>
      <c r="R69" s="2"/>
      <c r="S69" s="2"/>
      <c r="T69" s="2"/>
      <c r="U69" s="2"/>
      <c r="V69" s="2"/>
      <c r="W69" s="2"/>
    </row>
    <row r="70" ht="15.75" customHeight="1">
      <c r="A70" s="2"/>
      <c r="B70" s="2"/>
      <c r="C70" s="2"/>
      <c r="D70" s="2"/>
      <c r="E70" s="2"/>
      <c r="F70" s="2"/>
      <c r="G70" s="2"/>
      <c r="H70" s="2"/>
      <c r="I70" s="2"/>
      <c r="J70" s="2"/>
      <c r="K70" s="2"/>
      <c r="L70" s="2"/>
      <c r="M70" s="2"/>
      <c r="N70" s="2"/>
      <c r="O70" s="2"/>
      <c r="P70" s="2"/>
      <c r="Q70" s="2"/>
      <c r="R70" s="2"/>
      <c r="S70" s="2"/>
      <c r="T70" s="2"/>
      <c r="U70" s="2"/>
      <c r="V70" s="2"/>
      <c r="W70" s="2"/>
    </row>
    <row r="71" ht="15.75" customHeight="1">
      <c r="A71" s="2"/>
      <c r="B71" s="2"/>
      <c r="C71" s="2"/>
      <c r="D71" s="2"/>
      <c r="E71" s="2"/>
      <c r="F71" s="2"/>
      <c r="G71" s="2"/>
      <c r="H71" s="2"/>
      <c r="I71" s="2"/>
      <c r="J71" s="2"/>
      <c r="K71" s="2"/>
      <c r="L71" s="2"/>
      <c r="M71" s="2"/>
      <c r="N71" s="2"/>
      <c r="O71" s="2"/>
      <c r="P71" s="2"/>
      <c r="Q71" s="2"/>
      <c r="R71" s="2"/>
      <c r="S71" s="2"/>
      <c r="T71" s="2"/>
      <c r="U71" s="2"/>
      <c r="V71" s="2"/>
      <c r="W71" s="2"/>
    </row>
    <row r="72" ht="15.75" customHeight="1">
      <c r="A72" s="2"/>
      <c r="B72" s="2"/>
      <c r="C72" s="2"/>
      <c r="D72" s="2"/>
      <c r="E72" s="2"/>
      <c r="F72" s="2"/>
      <c r="G72" s="2"/>
      <c r="H72" s="2"/>
      <c r="I72" s="2"/>
      <c r="J72" s="2"/>
      <c r="K72" s="2"/>
      <c r="L72" s="2"/>
      <c r="M72" s="2"/>
      <c r="N72" s="2"/>
      <c r="O72" s="2"/>
      <c r="P72" s="2"/>
      <c r="Q72" s="2"/>
      <c r="R72" s="2"/>
      <c r="S72" s="2"/>
      <c r="T72" s="2"/>
      <c r="U72" s="2"/>
      <c r="V72" s="2"/>
      <c r="W72" s="2"/>
    </row>
    <row r="73" ht="15.75" customHeight="1">
      <c r="A73" s="2"/>
      <c r="B73" s="2"/>
      <c r="C73" s="2"/>
      <c r="D73" s="2"/>
      <c r="E73" s="2"/>
      <c r="F73" s="2"/>
      <c r="G73" s="2"/>
      <c r="H73" s="2"/>
      <c r="I73" s="2"/>
      <c r="J73" s="2"/>
      <c r="K73" s="2"/>
      <c r="L73" s="2"/>
      <c r="M73" s="2"/>
      <c r="N73" s="2"/>
      <c r="O73" s="2"/>
      <c r="P73" s="2"/>
      <c r="Q73" s="2"/>
      <c r="R73" s="2"/>
      <c r="S73" s="2"/>
      <c r="T73" s="2"/>
      <c r="U73" s="2"/>
      <c r="V73" s="2"/>
      <c r="W73" s="2"/>
    </row>
    <row r="74" ht="15.75" customHeight="1">
      <c r="A74" s="2"/>
      <c r="B74" s="2"/>
      <c r="C74" s="2"/>
      <c r="D74" s="2"/>
      <c r="E74" s="2"/>
      <c r="F74" s="2"/>
      <c r="G74" s="2"/>
      <c r="H74" s="2"/>
      <c r="I74" s="2"/>
      <c r="J74" s="2"/>
      <c r="K74" s="2"/>
      <c r="L74" s="2"/>
      <c r="M74" s="2"/>
      <c r="N74" s="2"/>
      <c r="O74" s="2"/>
      <c r="P74" s="2"/>
      <c r="Q74" s="2"/>
      <c r="R74" s="2"/>
      <c r="S74" s="2"/>
      <c r="T74" s="2"/>
      <c r="U74" s="2"/>
      <c r="V74" s="2"/>
      <c r="W74" s="2"/>
    </row>
    <row r="75" ht="15.75" customHeight="1">
      <c r="A75" s="2"/>
      <c r="B75" s="2"/>
      <c r="C75" s="2"/>
      <c r="D75" s="2"/>
      <c r="E75" s="2"/>
      <c r="F75" s="2"/>
      <c r="G75" s="2"/>
      <c r="H75" s="2"/>
      <c r="I75" s="2"/>
      <c r="J75" s="2"/>
      <c r="K75" s="2"/>
      <c r="L75" s="2"/>
      <c r="M75" s="2"/>
      <c r="N75" s="2"/>
      <c r="O75" s="2"/>
      <c r="P75" s="2"/>
      <c r="Q75" s="2"/>
      <c r="R75" s="2"/>
      <c r="S75" s="2"/>
      <c r="T75" s="2"/>
      <c r="U75" s="2"/>
      <c r="V75" s="2"/>
      <c r="W75" s="2"/>
    </row>
    <row r="76" ht="15.75" customHeight="1">
      <c r="A76" s="2"/>
      <c r="B76" s="2"/>
      <c r="C76" s="2"/>
      <c r="D76" s="2"/>
      <c r="E76" s="2"/>
      <c r="F76" s="2"/>
      <c r="G76" s="2"/>
      <c r="H76" s="2"/>
      <c r="I76" s="2"/>
      <c r="J76" s="2"/>
      <c r="K76" s="2"/>
      <c r="L76" s="2"/>
      <c r="M76" s="2"/>
      <c r="N76" s="2"/>
      <c r="O76" s="2"/>
      <c r="P76" s="2"/>
      <c r="Q76" s="2"/>
      <c r="R76" s="2"/>
      <c r="S76" s="2"/>
      <c r="T76" s="2"/>
      <c r="U76" s="2"/>
      <c r="V76" s="2"/>
      <c r="W76" s="2"/>
    </row>
    <row r="77" ht="15.75" customHeight="1">
      <c r="A77" s="2"/>
      <c r="B77" s="2"/>
      <c r="C77" s="2"/>
      <c r="D77" s="2"/>
      <c r="E77" s="2"/>
      <c r="F77" s="2"/>
      <c r="G77" s="2"/>
      <c r="H77" s="2"/>
      <c r="I77" s="2"/>
      <c r="J77" s="2"/>
      <c r="K77" s="2"/>
      <c r="L77" s="2"/>
      <c r="M77" s="2"/>
      <c r="N77" s="2"/>
      <c r="O77" s="2"/>
      <c r="P77" s="2"/>
      <c r="Q77" s="2"/>
      <c r="R77" s="2"/>
      <c r="S77" s="2"/>
      <c r="T77" s="2"/>
      <c r="U77" s="2"/>
      <c r="V77" s="2"/>
      <c r="W77" s="2"/>
    </row>
    <row r="78" ht="15.75" customHeight="1">
      <c r="A78" s="2"/>
      <c r="B78" s="2"/>
      <c r="C78" s="2"/>
      <c r="D78" s="2"/>
      <c r="E78" s="2"/>
      <c r="F78" s="2"/>
      <c r="G78" s="2"/>
      <c r="H78" s="2"/>
      <c r="I78" s="2"/>
      <c r="J78" s="2"/>
      <c r="K78" s="2"/>
      <c r="L78" s="2"/>
      <c r="M78" s="2"/>
      <c r="N78" s="2"/>
      <c r="O78" s="2"/>
      <c r="P78" s="2"/>
      <c r="Q78" s="2"/>
      <c r="R78" s="2"/>
      <c r="S78" s="2"/>
      <c r="T78" s="2"/>
      <c r="U78" s="2"/>
      <c r="V78" s="2"/>
      <c r="W78" s="2"/>
    </row>
    <row r="79" ht="15.75" customHeight="1">
      <c r="A79" s="2"/>
      <c r="B79" s="2"/>
      <c r="C79" s="2"/>
      <c r="D79" s="2"/>
      <c r="E79" s="2"/>
      <c r="F79" s="2"/>
      <c r="G79" s="2"/>
      <c r="H79" s="2"/>
      <c r="I79" s="2"/>
      <c r="J79" s="2"/>
      <c r="K79" s="2"/>
      <c r="L79" s="2"/>
      <c r="M79" s="2"/>
      <c r="N79" s="2"/>
      <c r="O79" s="2"/>
      <c r="P79" s="2"/>
      <c r="Q79" s="2"/>
      <c r="R79" s="2"/>
      <c r="S79" s="2"/>
      <c r="T79" s="2"/>
      <c r="U79" s="2"/>
      <c r="V79" s="2"/>
      <c r="W79" s="2"/>
    </row>
    <row r="80" ht="15.75" customHeight="1">
      <c r="A80" s="2"/>
      <c r="B80" s="2"/>
      <c r="C80" s="2"/>
      <c r="D80" s="2"/>
      <c r="E80" s="2"/>
      <c r="F80" s="2"/>
      <c r="G80" s="2"/>
      <c r="H80" s="2"/>
      <c r="I80" s="2"/>
      <c r="J80" s="2"/>
      <c r="K80" s="2"/>
      <c r="L80" s="2"/>
      <c r="M80" s="2"/>
      <c r="N80" s="2"/>
      <c r="O80" s="2"/>
      <c r="P80" s="2"/>
      <c r="Q80" s="2"/>
      <c r="R80" s="2"/>
      <c r="S80" s="2"/>
      <c r="T80" s="2"/>
      <c r="U80" s="2"/>
      <c r="V80" s="2"/>
      <c r="W80" s="2"/>
    </row>
    <row r="81" ht="15.75" customHeight="1">
      <c r="A81" s="2"/>
      <c r="B81" s="2"/>
      <c r="C81" s="2"/>
      <c r="D81" s="2"/>
      <c r="E81" s="2"/>
      <c r="F81" s="2"/>
      <c r="G81" s="2"/>
      <c r="H81" s="2"/>
      <c r="I81" s="2"/>
      <c r="J81" s="2"/>
      <c r="K81" s="2"/>
      <c r="L81" s="2"/>
      <c r="M81" s="2"/>
      <c r="N81" s="2"/>
      <c r="O81" s="2"/>
      <c r="P81" s="2"/>
      <c r="Q81" s="2"/>
      <c r="R81" s="2"/>
      <c r="S81" s="2"/>
      <c r="T81" s="2"/>
      <c r="U81" s="2"/>
      <c r="V81" s="2"/>
      <c r="W81" s="2"/>
    </row>
    <row r="82" ht="15.75" customHeight="1">
      <c r="A82" s="2"/>
      <c r="B82" s="2"/>
      <c r="C82" s="2"/>
      <c r="D82" s="2"/>
      <c r="E82" s="2"/>
      <c r="F82" s="2"/>
      <c r="G82" s="2"/>
      <c r="H82" s="2"/>
      <c r="I82" s="2"/>
      <c r="J82" s="2"/>
      <c r="K82" s="2"/>
      <c r="L82" s="2"/>
      <c r="M82" s="2"/>
      <c r="N82" s="2"/>
      <c r="O82" s="2"/>
      <c r="P82" s="2"/>
      <c r="Q82" s="2"/>
      <c r="R82" s="2"/>
      <c r="S82" s="2"/>
      <c r="T82" s="2"/>
      <c r="U82" s="2"/>
      <c r="V82" s="2"/>
      <c r="W82" s="2"/>
    </row>
    <row r="83" ht="15.75" customHeight="1">
      <c r="A83" s="2"/>
      <c r="B83" s="2"/>
      <c r="C83" s="2"/>
      <c r="D83" s="2"/>
      <c r="E83" s="2"/>
      <c r="F83" s="2"/>
      <c r="G83" s="2"/>
      <c r="H83" s="2"/>
      <c r="I83" s="2"/>
      <c r="J83" s="2"/>
      <c r="K83" s="2"/>
      <c r="L83" s="2"/>
      <c r="M83" s="2"/>
      <c r="N83" s="2"/>
      <c r="O83" s="2"/>
      <c r="P83" s="2"/>
      <c r="Q83" s="2"/>
      <c r="R83" s="2"/>
      <c r="S83" s="2"/>
      <c r="T83" s="2"/>
      <c r="U83" s="2"/>
      <c r="V83" s="2"/>
      <c r="W83" s="2"/>
    </row>
    <row r="84" ht="15.75" customHeight="1">
      <c r="A84" s="2"/>
      <c r="B84" s="2"/>
      <c r="C84" s="2"/>
      <c r="D84" s="2"/>
      <c r="E84" s="2"/>
      <c r="F84" s="2"/>
      <c r="G84" s="2"/>
      <c r="H84" s="2"/>
      <c r="I84" s="2"/>
      <c r="J84" s="2"/>
      <c r="K84" s="2"/>
      <c r="L84" s="2"/>
      <c r="M84" s="2"/>
      <c r="N84" s="2"/>
      <c r="O84" s="2"/>
      <c r="P84" s="2"/>
      <c r="Q84" s="2"/>
      <c r="R84" s="2"/>
      <c r="S84" s="2"/>
      <c r="T84" s="2"/>
      <c r="U84" s="2"/>
      <c r="V84" s="2"/>
      <c r="W84" s="2"/>
    </row>
    <row r="85" ht="15.75" customHeight="1">
      <c r="A85" s="2"/>
      <c r="B85" s="2"/>
      <c r="C85" s="2"/>
      <c r="D85" s="2"/>
      <c r="E85" s="2"/>
      <c r="F85" s="2"/>
      <c r="G85" s="2"/>
      <c r="H85" s="2"/>
      <c r="I85" s="2"/>
      <c r="J85" s="2"/>
      <c r="K85" s="2"/>
      <c r="L85" s="2"/>
      <c r="M85" s="2"/>
      <c r="N85" s="2"/>
      <c r="O85" s="2"/>
      <c r="P85" s="2"/>
      <c r="Q85" s="2"/>
      <c r="R85" s="2"/>
      <c r="S85" s="2"/>
      <c r="T85" s="2"/>
      <c r="U85" s="2"/>
      <c r="V85" s="2"/>
      <c r="W85" s="2"/>
    </row>
    <row r="86" ht="15.75" customHeight="1">
      <c r="A86" s="2"/>
      <c r="B86" s="2"/>
      <c r="C86" s="2"/>
      <c r="D86" s="2"/>
      <c r="E86" s="2"/>
      <c r="F86" s="2"/>
      <c r="G86" s="2"/>
      <c r="H86" s="2"/>
      <c r="I86" s="2"/>
      <c r="J86" s="2"/>
      <c r="K86" s="2"/>
      <c r="L86" s="2"/>
      <c r="M86" s="2"/>
      <c r="N86" s="2"/>
      <c r="O86" s="2"/>
      <c r="P86" s="2"/>
      <c r="Q86" s="2"/>
      <c r="R86" s="2"/>
      <c r="S86" s="2"/>
      <c r="T86" s="2"/>
      <c r="U86" s="2"/>
      <c r="V86" s="2"/>
      <c r="W86" s="2"/>
    </row>
    <row r="87" ht="15.75" customHeight="1">
      <c r="A87" s="2"/>
      <c r="B87" s="2"/>
      <c r="C87" s="2"/>
      <c r="D87" s="2"/>
      <c r="E87" s="2"/>
      <c r="F87" s="2"/>
      <c r="G87" s="2"/>
      <c r="H87" s="2"/>
      <c r="I87" s="2"/>
      <c r="J87" s="2"/>
      <c r="K87" s="2"/>
      <c r="L87" s="2"/>
      <c r="M87" s="2"/>
      <c r="N87" s="2"/>
      <c r="O87" s="2"/>
      <c r="P87" s="2"/>
      <c r="Q87" s="2"/>
      <c r="R87" s="2"/>
      <c r="S87" s="2"/>
      <c r="T87" s="2"/>
      <c r="U87" s="2"/>
      <c r="V87" s="2"/>
      <c r="W87" s="2"/>
    </row>
    <row r="88" ht="15.75" customHeight="1">
      <c r="A88" s="2"/>
      <c r="B88" s="2"/>
      <c r="C88" s="2"/>
      <c r="D88" s="2"/>
      <c r="E88" s="2"/>
      <c r="F88" s="2"/>
      <c r="G88" s="2"/>
      <c r="H88" s="2"/>
      <c r="I88" s="2"/>
      <c r="J88" s="2"/>
      <c r="K88" s="2"/>
      <c r="L88" s="2"/>
      <c r="M88" s="2"/>
      <c r="N88" s="2"/>
      <c r="O88" s="2"/>
      <c r="P88" s="2"/>
      <c r="Q88" s="2"/>
      <c r="R88" s="2"/>
      <c r="S88" s="2"/>
      <c r="T88" s="2"/>
      <c r="U88" s="2"/>
      <c r="V88" s="2"/>
      <c r="W88" s="2"/>
    </row>
    <row r="89" ht="15.75" customHeight="1">
      <c r="A89" s="2"/>
      <c r="B89" s="2"/>
      <c r="C89" s="2"/>
      <c r="D89" s="2"/>
      <c r="E89" s="2"/>
      <c r="F89" s="2"/>
      <c r="G89" s="2"/>
      <c r="H89" s="2"/>
      <c r="I89" s="2"/>
      <c r="J89" s="2"/>
      <c r="K89" s="2"/>
      <c r="L89" s="2"/>
      <c r="M89" s="2"/>
      <c r="N89" s="2"/>
      <c r="O89" s="2"/>
      <c r="P89" s="2"/>
      <c r="Q89" s="2"/>
      <c r="R89" s="2"/>
      <c r="S89" s="2"/>
      <c r="T89" s="2"/>
      <c r="U89" s="2"/>
      <c r="V89" s="2"/>
      <c r="W89" s="2"/>
    </row>
    <row r="90" ht="15.75" customHeight="1">
      <c r="A90" s="2"/>
      <c r="B90" s="2"/>
      <c r="C90" s="2"/>
      <c r="D90" s="2"/>
      <c r="E90" s="2"/>
      <c r="F90" s="2"/>
      <c r="G90" s="2"/>
      <c r="H90" s="2"/>
      <c r="I90" s="2"/>
      <c r="J90" s="2"/>
      <c r="K90" s="2"/>
      <c r="L90" s="2"/>
      <c r="M90" s="2"/>
      <c r="N90" s="2"/>
      <c r="O90" s="2"/>
      <c r="P90" s="2"/>
      <c r="Q90" s="2"/>
      <c r="R90" s="2"/>
      <c r="S90" s="2"/>
      <c r="T90" s="2"/>
      <c r="U90" s="2"/>
      <c r="V90" s="2"/>
      <c r="W90" s="2"/>
    </row>
    <row r="91" ht="15.75" customHeight="1">
      <c r="A91" s="2"/>
      <c r="B91" s="2"/>
      <c r="C91" s="2"/>
      <c r="D91" s="2"/>
      <c r="E91" s="2"/>
      <c r="F91" s="2"/>
      <c r="G91" s="2"/>
      <c r="H91" s="2"/>
      <c r="I91" s="2"/>
      <c r="J91" s="2"/>
      <c r="K91" s="2"/>
      <c r="L91" s="2"/>
      <c r="M91" s="2"/>
      <c r="N91" s="2"/>
      <c r="O91" s="2"/>
      <c r="P91" s="2"/>
      <c r="Q91" s="2"/>
      <c r="R91" s="2"/>
      <c r="S91" s="2"/>
      <c r="T91" s="2"/>
      <c r="U91" s="2"/>
      <c r="V91" s="2"/>
      <c r="W91" s="2"/>
    </row>
    <row r="92" ht="15.75" customHeight="1">
      <c r="A92" s="2"/>
      <c r="B92" s="2"/>
      <c r="C92" s="2"/>
      <c r="D92" s="2"/>
      <c r="E92" s="2"/>
      <c r="F92" s="2"/>
      <c r="G92" s="2"/>
      <c r="H92" s="2"/>
      <c r="I92" s="2"/>
      <c r="J92" s="2"/>
      <c r="K92" s="2"/>
      <c r="L92" s="2"/>
      <c r="M92" s="2"/>
      <c r="N92" s="2"/>
      <c r="O92" s="2"/>
      <c r="P92" s="2"/>
      <c r="Q92" s="2"/>
      <c r="R92" s="2"/>
      <c r="S92" s="2"/>
      <c r="T92" s="2"/>
      <c r="U92" s="2"/>
      <c r="V92" s="2"/>
      <c r="W92" s="2"/>
    </row>
    <row r="93" ht="15.75" customHeight="1">
      <c r="A93" s="2"/>
      <c r="B93" s="2"/>
      <c r="C93" s="2"/>
      <c r="D93" s="2"/>
      <c r="E93" s="2"/>
      <c r="F93" s="2"/>
      <c r="G93" s="2"/>
      <c r="H93" s="2"/>
      <c r="I93" s="2"/>
      <c r="J93" s="2"/>
      <c r="K93" s="2"/>
      <c r="L93" s="2"/>
      <c r="M93" s="2"/>
      <c r="N93" s="2"/>
      <c r="O93" s="2"/>
      <c r="P93" s="2"/>
      <c r="Q93" s="2"/>
      <c r="R93" s="2"/>
      <c r="S93" s="2"/>
      <c r="T93" s="2"/>
      <c r="U93" s="2"/>
      <c r="V93" s="2"/>
      <c r="W93" s="2"/>
    </row>
    <row r="94" ht="15.75" customHeight="1">
      <c r="A94" s="2"/>
      <c r="B94" s="2"/>
      <c r="C94" s="2"/>
      <c r="D94" s="2"/>
      <c r="E94" s="2"/>
      <c r="F94" s="2"/>
      <c r="G94" s="2"/>
      <c r="H94" s="2"/>
      <c r="I94" s="2"/>
      <c r="J94" s="2"/>
      <c r="K94" s="2"/>
      <c r="L94" s="2"/>
      <c r="M94" s="2"/>
      <c r="N94" s="2"/>
      <c r="O94" s="2"/>
      <c r="P94" s="2"/>
      <c r="Q94" s="2"/>
      <c r="R94" s="2"/>
      <c r="S94" s="2"/>
      <c r="T94" s="2"/>
      <c r="U94" s="2"/>
      <c r="V94" s="2"/>
      <c r="W94" s="2"/>
    </row>
    <row r="95" ht="15.75" customHeight="1">
      <c r="A95" s="2"/>
      <c r="B95" s="2"/>
      <c r="C95" s="2"/>
      <c r="D95" s="2"/>
      <c r="E95" s="2"/>
      <c r="F95" s="2"/>
      <c r="G95" s="2"/>
      <c r="H95" s="2"/>
      <c r="I95" s="2"/>
      <c r="J95" s="2"/>
      <c r="K95" s="2"/>
      <c r="L95" s="2"/>
      <c r="M95" s="2"/>
      <c r="N95" s="2"/>
      <c r="O95" s="2"/>
      <c r="P95" s="2"/>
      <c r="Q95" s="2"/>
      <c r="R95" s="2"/>
      <c r="S95" s="2"/>
      <c r="T95" s="2"/>
      <c r="U95" s="2"/>
      <c r="V95" s="2"/>
      <c r="W95" s="2"/>
    </row>
    <row r="96" ht="15.75" customHeight="1">
      <c r="A96" s="2"/>
      <c r="B96" s="2"/>
      <c r="C96" s="2"/>
      <c r="D96" s="2"/>
      <c r="E96" s="2"/>
      <c r="F96" s="2"/>
      <c r="G96" s="2"/>
      <c r="H96" s="2"/>
      <c r="I96" s="2"/>
      <c r="J96" s="2"/>
      <c r="K96" s="2"/>
      <c r="L96" s="2"/>
      <c r="M96" s="2"/>
      <c r="N96" s="2"/>
      <c r="O96" s="2"/>
      <c r="P96" s="2"/>
      <c r="Q96" s="2"/>
      <c r="R96" s="2"/>
      <c r="S96" s="2"/>
      <c r="T96" s="2"/>
      <c r="U96" s="2"/>
      <c r="V96" s="2"/>
      <c r="W96" s="2"/>
    </row>
    <row r="97" ht="15.75" customHeight="1">
      <c r="A97" s="2"/>
      <c r="B97" s="2"/>
      <c r="C97" s="2"/>
      <c r="D97" s="2"/>
      <c r="E97" s="2"/>
      <c r="F97" s="2"/>
      <c r="G97" s="2"/>
      <c r="H97" s="2"/>
      <c r="I97" s="2"/>
      <c r="J97" s="2"/>
      <c r="K97" s="2"/>
      <c r="L97" s="2"/>
      <c r="M97" s="2"/>
      <c r="N97" s="2"/>
      <c r="O97" s="2"/>
      <c r="P97" s="2"/>
      <c r="Q97" s="2"/>
      <c r="R97" s="2"/>
      <c r="S97" s="2"/>
      <c r="T97" s="2"/>
      <c r="U97" s="2"/>
      <c r="V97" s="2"/>
      <c r="W97" s="2"/>
    </row>
    <row r="98" ht="15.75" customHeight="1">
      <c r="A98" s="2"/>
      <c r="B98" s="2"/>
      <c r="C98" s="2"/>
      <c r="D98" s="2"/>
      <c r="E98" s="2"/>
      <c r="F98" s="2"/>
      <c r="G98" s="2"/>
      <c r="H98" s="2"/>
      <c r="I98" s="2"/>
      <c r="J98" s="2"/>
      <c r="K98" s="2"/>
      <c r="L98" s="2"/>
      <c r="M98" s="2"/>
      <c r="N98" s="2"/>
      <c r="O98" s="2"/>
      <c r="P98" s="2"/>
      <c r="Q98" s="2"/>
      <c r="R98" s="2"/>
      <c r="S98" s="2"/>
      <c r="T98" s="2"/>
      <c r="U98" s="2"/>
      <c r="V98" s="2"/>
      <c r="W98" s="2"/>
    </row>
    <row r="99" ht="15.75" customHeight="1">
      <c r="A99" s="2"/>
      <c r="B99" s="2"/>
      <c r="C99" s="2"/>
      <c r="D99" s="2"/>
      <c r="E99" s="2"/>
      <c r="F99" s="2"/>
      <c r="G99" s="2"/>
      <c r="H99" s="2"/>
      <c r="I99" s="2"/>
      <c r="J99" s="2"/>
      <c r="K99" s="2"/>
      <c r="L99" s="2"/>
      <c r="M99" s="2"/>
      <c r="N99" s="2"/>
      <c r="O99" s="2"/>
      <c r="P99" s="2"/>
      <c r="Q99" s="2"/>
      <c r="R99" s="2"/>
      <c r="S99" s="2"/>
      <c r="T99" s="2"/>
      <c r="U99" s="2"/>
      <c r="V99" s="2"/>
      <c r="W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row>
    <row r="231" ht="15.75" customHeight="1">
      <c r="I231" s="2"/>
      <c r="J231" s="2"/>
      <c r="K231" s="2"/>
      <c r="M231" s="2"/>
      <c r="N231" s="2"/>
      <c r="O231" s="2"/>
      <c r="P231" s="2"/>
      <c r="Q231" s="2"/>
    </row>
    <row r="232" ht="15.75" customHeight="1">
      <c r="I232" s="2"/>
      <c r="J232" s="2"/>
      <c r="K232" s="2"/>
      <c r="M232" s="2"/>
      <c r="N232" s="2"/>
      <c r="O232" s="2"/>
      <c r="P232" s="2"/>
      <c r="Q232" s="2"/>
    </row>
    <row r="233" ht="15.75" customHeight="1">
      <c r="I233" s="2"/>
      <c r="J233" s="2"/>
      <c r="K233" s="2"/>
      <c r="M233" s="2"/>
      <c r="N233" s="2"/>
      <c r="O233" s="2"/>
      <c r="P233" s="2"/>
      <c r="Q233" s="2"/>
    </row>
    <row r="234" ht="15.75" customHeight="1">
      <c r="I234" s="2"/>
      <c r="J234" s="2"/>
      <c r="K234" s="2"/>
      <c r="M234" s="2"/>
      <c r="N234" s="2"/>
      <c r="O234" s="2"/>
      <c r="P234" s="2"/>
      <c r="Q234" s="2"/>
    </row>
    <row r="235" ht="15.75" customHeight="1">
      <c r="I235" s="2"/>
      <c r="J235" s="2"/>
      <c r="K235" s="2"/>
      <c r="M235" s="2"/>
      <c r="N235" s="2"/>
      <c r="O235" s="2"/>
      <c r="P235" s="2"/>
      <c r="Q235" s="2"/>
    </row>
    <row r="236" ht="15.75" customHeight="1">
      <c r="I236" s="2"/>
      <c r="J236" s="2"/>
      <c r="K236" s="2"/>
      <c r="M236" s="2"/>
      <c r="N236" s="2"/>
      <c r="O236" s="2"/>
      <c r="P236" s="2"/>
      <c r="Q236" s="2"/>
    </row>
    <row r="237" ht="15.75" customHeight="1">
      <c r="I237" s="2"/>
      <c r="J237" s="2"/>
      <c r="K237" s="2"/>
      <c r="M237" s="2"/>
      <c r="N237" s="2"/>
      <c r="O237" s="2"/>
      <c r="P237" s="2"/>
      <c r="Q237" s="2"/>
    </row>
    <row r="238" ht="15.75" customHeight="1">
      <c r="I238" s="2"/>
      <c r="J238" s="2"/>
      <c r="K238" s="2"/>
      <c r="M238" s="2"/>
      <c r="N238" s="2"/>
      <c r="O238" s="2"/>
      <c r="P238" s="2"/>
      <c r="Q238" s="2"/>
    </row>
    <row r="239" ht="15.75" customHeight="1">
      <c r="I239" s="2"/>
      <c r="J239" s="2"/>
      <c r="K239" s="2"/>
      <c r="M239" s="2"/>
      <c r="N239" s="2"/>
      <c r="O239" s="2"/>
      <c r="P239" s="2"/>
      <c r="Q239" s="2"/>
    </row>
    <row r="240" ht="15.75" customHeight="1">
      <c r="I240" s="2"/>
      <c r="J240" s="2"/>
      <c r="K240" s="2"/>
      <c r="M240" s="2"/>
      <c r="N240" s="2"/>
      <c r="O240" s="2"/>
      <c r="P240" s="2"/>
      <c r="Q240" s="2"/>
    </row>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CCFF"/>
    <outlinePr summaryBelow="0" summaryRight="0"/>
    <pageSetUpPr/>
  </sheetPr>
  <sheetViews>
    <sheetView showGridLines="0" workbookViewId="0"/>
  </sheetViews>
  <sheetFormatPr customHeight="1" defaultColWidth="14.43" defaultRowHeight="15.0"/>
  <cols>
    <col customWidth="1" min="1" max="2" width="2.71"/>
    <col customWidth="1" min="3" max="3" width="54.71"/>
    <col customWidth="1" min="4" max="4" width="19.43"/>
    <col customWidth="1" min="5" max="5" width="13.43"/>
    <col customWidth="1" min="6" max="6" width="18.57"/>
    <col customWidth="1" min="7" max="7" width="10.71"/>
    <col customWidth="1" min="8" max="8" width="10.57"/>
    <col customWidth="1" min="9" max="9" width="18.86"/>
    <col customWidth="1" min="10" max="10" width="9.0"/>
    <col customWidth="1" min="11" max="11" width="10.57"/>
    <col customWidth="1" min="12" max="12" width="18.86"/>
    <col customWidth="1" min="13" max="13" width="9.0"/>
    <col customWidth="1" min="14" max="14" width="10.57"/>
    <col customWidth="1" min="15" max="15" width="19.29"/>
    <col customWidth="1" min="16" max="16" width="10.43"/>
    <col customWidth="1" min="17" max="17" width="10.57"/>
    <col customWidth="1" min="18" max="18" width="19.29"/>
    <col customWidth="1" min="19" max="19" width="9.0"/>
    <col customWidth="1" min="20" max="20" width="13.0"/>
    <col customWidth="1" min="21" max="21" width="2.43"/>
    <col customWidth="1" min="22" max="28" width="11.29"/>
    <col customWidth="1" min="29" max="30" width="17.29"/>
  </cols>
  <sheetData>
    <row r="1" ht="15.75" customHeight="1">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row>
    <row r="2" ht="15.75" customHeight="1">
      <c r="A2" s="27"/>
      <c r="B2" s="85"/>
      <c r="C2" s="86"/>
      <c r="D2" s="28"/>
      <c r="E2" s="28"/>
      <c r="F2" s="28"/>
      <c r="G2" s="28"/>
      <c r="H2" s="28"/>
      <c r="I2" s="28"/>
      <c r="J2" s="28"/>
      <c r="K2" s="28"/>
      <c r="L2" s="28"/>
      <c r="M2" s="28"/>
      <c r="N2" s="28"/>
      <c r="O2" s="28"/>
      <c r="P2" s="28"/>
      <c r="Q2" s="28"/>
      <c r="R2" s="28"/>
      <c r="S2" s="28"/>
      <c r="T2" s="28"/>
      <c r="U2" s="28"/>
      <c r="V2" s="27"/>
      <c r="W2" s="27"/>
      <c r="X2" s="27"/>
      <c r="Y2" s="27"/>
      <c r="Z2" s="27"/>
      <c r="AA2" s="27"/>
      <c r="AB2" s="27"/>
      <c r="AC2" s="27"/>
      <c r="AD2" s="27"/>
    </row>
    <row r="3" ht="15.75" customHeight="1">
      <c r="A3" s="27"/>
      <c r="B3" s="85"/>
      <c r="C3" s="153" t="s">
        <v>347</v>
      </c>
      <c r="D3" s="28"/>
      <c r="E3" s="28"/>
      <c r="F3" s="28"/>
      <c r="G3" s="28"/>
      <c r="H3" s="28"/>
      <c r="I3" s="28"/>
      <c r="J3" s="28"/>
      <c r="K3" s="28"/>
      <c r="L3" s="28"/>
      <c r="M3" s="28"/>
      <c r="N3" s="28"/>
      <c r="O3" s="28"/>
      <c r="P3" s="28"/>
      <c r="Q3" s="28"/>
      <c r="R3" s="28"/>
      <c r="S3" s="28"/>
      <c r="T3" s="28"/>
      <c r="U3" s="28"/>
      <c r="V3" s="27"/>
      <c r="W3" s="27"/>
      <c r="X3" s="27"/>
      <c r="Y3" s="27"/>
      <c r="Z3" s="27"/>
      <c r="AA3" s="27"/>
      <c r="AB3" s="27"/>
      <c r="AC3" s="27"/>
      <c r="AD3" s="27"/>
    </row>
    <row r="4" ht="15.75" customHeight="1">
      <c r="A4" s="27"/>
      <c r="B4" s="85"/>
      <c r="C4" s="153"/>
      <c r="D4" s="28"/>
      <c r="E4" s="28"/>
      <c r="F4" s="28"/>
      <c r="G4" s="28"/>
      <c r="H4" s="28"/>
      <c r="I4" s="28"/>
      <c r="J4" s="28"/>
      <c r="K4" s="28"/>
      <c r="L4" s="28"/>
      <c r="M4" s="28"/>
      <c r="N4" s="28"/>
      <c r="O4" s="28"/>
      <c r="P4" s="28"/>
      <c r="Q4" s="28"/>
      <c r="R4" s="28"/>
      <c r="S4" s="28"/>
      <c r="T4" s="28"/>
      <c r="U4" s="28"/>
      <c r="V4" s="27"/>
      <c r="W4" s="27"/>
      <c r="X4" s="27"/>
      <c r="Y4" s="27"/>
      <c r="Z4" s="27"/>
      <c r="AA4" s="27"/>
      <c r="AB4" s="27"/>
      <c r="AC4" s="27"/>
      <c r="AD4" s="27"/>
    </row>
    <row r="5" ht="15.75" customHeight="1">
      <c r="A5" s="27"/>
      <c r="B5" s="38"/>
      <c r="C5" s="167" t="s">
        <v>348</v>
      </c>
      <c r="D5" s="28"/>
      <c r="E5" s="28"/>
      <c r="F5" s="28"/>
      <c r="G5" s="28"/>
      <c r="H5" s="28"/>
      <c r="I5" s="28"/>
      <c r="J5" s="28"/>
      <c r="K5" s="28"/>
      <c r="L5" s="28"/>
      <c r="M5" s="28"/>
      <c r="N5" s="28"/>
      <c r="O5" s="28"/>
      <c r="P5" s="28"/>
      <c r="Q5" s="28"/>
      <c r="R5" s="28"/>
      <c r="S5" s="28"/>
      <c r="T5" s="28"/>
      <c r="U5" s="28"/>
      <c r="V5" s="27"/>
      <c r="W5" s="27"/>
      <c r="X5" s="27"/>
      <c r="Y5" s="27"/>
      <c r="Z5" s="27"/>
      <c r="AA5" s="27"/>
      <c r="AB5" s="27"/>
      <c r="AC5" s="27"/>
      <c r="AD5" s="27"/>
    </row>
    <row r="6" ht="13.5" customHeight="1">
      <c r="A6" s="27"/>
      <c r="B6" s="28"/>
      <c r="C6" s="28"/>
      <c r="D6" s="414" t="s">
        <v>190</v>
      </c>
      <c r="E6" s="414" t="s">
        <v>349</v>
      </c>
      <c r="F6" s="415" t="s">
        <v>350</v>
      </c>
      <c r="G6" s="414" t="s">
        <v>190</v>
      </c>
      <c r="H6" s="414" t="s">
        <v>349</v>
      </c>
      <c r="I6" s="415" t="s">
        <v>351</v>
      </c>
      <c r="J6" s="414" t="s">
        <v>190</v>
      </c>
      <c r="K6" s="414" t="s">
        <v>349</v>
      </c>
      <c r="L6" s="415" t="s">
        <v>352</v>
      </c>
      <c r="M6" s="414" t="s">
        <v>190</v>
      </c>
      <c r="N6" s="414" t="s">
        <v>349</v>
      </c>
      <c r="O6" s="415" t="s">
        <v>353</v>
      </c>
      <c r="P6" s="414" t="s">
        <v>190</v>
      </c>
      <c r="Q6" s="414" t="s">
        <v>349</v>
      </c>
      <c r="R6" s="415" t="s">
        <v>354</v>
      </c>
      <c r="S6" s="38"/>
      <c r="T6" s="38"/>
      <c r="U6" s="38"/>
      <c r="V6" s="91"/>
      <c r="W6" s="91"/>
      <c r="X6" s="91"/>
      <c r="Y6" s="91"/>
      <c r="Z6" s="91"/>
      <c r="AA6" s="91"/>
      <c r="AB6" s="91"/>
      <c r="AC6" s="27"/>
      <c r="AD6" s="27"/>
    </row>
    <row r="7" ht="13.5" customHeight="1">
      <c r="A7" s="27"/>
      <c r="B7" s="28"/>
      <c r="C7" s="176" t="s">
        <v>355</v>
      </c>
      <c r="D7" s="312">
        <f>+Mercado!H23</f>
        <v>1000</v>
      </c>
      <c r="E7" s="172">
        <f>+Mercado!F23</f>
        <v>160500</v>
      </c>
      <c r="F7" s="246">
        <f>D7*E7</f>
        <v>160500000</v>
      </c>
      <c r="G7" s="68">
        <f>+Mercado!H24</f>
        <v>1400</v>
      </c>
      <c r="H7" s="172">
        <f>+Mercado!F24</f>
        <v>160500</v>
      </c>
      <c r="I7" s="246">
        <f>G7*H7</f>
        <v>224700000</v>
      </c>
      <c r="J7" s="68">
        <f>+Mercado!H25</f>
        <v>2000</v>
      </c>
      <c r="K7" s="172">
        <f>+Mercado!F25</f>
        <v>160500</v>
      </c>
      <c r="L7" s="246">
        <f>J7*K7</f>
        <v>321000000</v>
      </c>
      <c r="M7" s="68">
        <f>+Mercado!H26</f>
        <v>2800</v>
      </c>
      <c r="N7" s="172">
        <f>+Mercado!F26</f>
        <v>160500</v>
      </c>
      <c r="O7" s="246">
        <f>M7*N7</f>
        <v>449400000</v>
      </c>
      <c r="P7" s="68">
        <f>+Mercado!H27</f>
        <v>4000</v>
      </c>
      <c r="Q7" s="172">
        <f>+Mercado!F27</f>
        <v>160500</v>
      </c>
      <c r="R7" s="246">
        <f>P7*Q7</f>
        <v>642000000</v>
      </c>
      <c r="S7" s="38"/>
      <c r="T7" s="38"/>
      <c r="U7" s="38"/>
      <c r="V7" s="91"/>
      <c r="W7" s="91"/>
      <c r="X7" s="91"/>
      <c r="Y7" s="91"/>
      <c r="Z7" s="91"/>
      <c r="AA7" s="91"/>
      <c r="AB7" s="91"/>
      <c r="AC7" s="27"/>
      <c r="AD7" s="27"/>
    </row>
    <row r="8" ht="13.5" customHeight="1">
      <c r="A8" s="27"/>
      <c r="B8" s="28"/>
      <c r="C8" s="176" t="s">
        <v>356</v>
      </c>
      <c r="D8" s="312">
        <f>+D7</f>
        <v>1000</v>
      </c>
      <c r="E8" s="172">
        <f>+'Costos Variables de Fabricación'!L35*E7</f>
        <v>37120.65662</v>
      </c>
      <c r="F8" s="246">
        <f t="shared" ref="F8:F9" si="1">-D8*E8</f>
        <v>-37120656.62</v>
      </c>
      <c r="G8" s="68">
        <f>+G7</f>
        <v>1400</v>
      </c>
      <c r="H8" s="172">
        <f>+'Costos Variables de Fabricación'!L35*H7</f>
        <v>37120.65662</v>
      </c>
      <c r="I8" s="246">
        <f t="shared" ref="I8:I9" si="2">-G8*H8</f>
        <v>-51968919.26</v>
      </c>
      <c r="J8" s="68">
        <f>+J7</f>
        <v>2000</v>
      </c>
      <c r="K8" s="172">
        <f>+'Costos Variables de Fabricación'!L35*K7</f>
        <v>37120.65662</v>
      </c>
      <c r="L8" s="246">
        <f t="shared" ref="L8:L9" si="3">-J8*K8</f>
        <v>-74241313.23</v>
      </c>
      <c r="M8" s="68">
        <f>+M7</f>
        <v>2800</v>
      </c>
      <c r="N8" s="172">
        <f>+'Costos Variables de Fabricación'!L35*N7</f>
        <v>37120.65662</v>
      </c>
      <c r="O8" s="246">
        <f t="shared" ref="O8:O9" si="4">-M8*N8</f>
        <v>-103937838.5</v>
      </c>
      <c r="P8" s="68">
        <f>+P7</f>
        <v>4000</v>
      </c>
      <c r="Q8" s="172">
        <f>+'Costos Variables de Fabricación'!L35*Q7</f>
        <v>37120.65662</v>
      </c>
      <c r="R8" s="246">
        <f t="shared" ref="R8:R9" si="5">-P8*Q8</f>
        <v>-148482626.5</v>
      </c>
      <c r="S8" s="38"/>
      <c r="T8" s="38"/>
      <c r="U8" s="38"/>
      <c r="V8" s="91"/>
      <c r="W8" s="91"/>
      <c r="X8" s="91"/>
      <c r="Y8" s="91"/>
      <c r="Z8" s="91"/>
      <c r="AA8" s="91"/>
      <c r="AB8" s="91"/>
      <c r="AC8" s="27"/>
      <c r="AD8" s="27"/>
    </row>
    <row r="9" ht="13.5" customHeight="1">
      <c r="A9" s="27"/>
      <c r="B9" s="28"/>
      <c r="C9" s="176" t="s">
        <v>357</v>
      </c>
      <c r="D9" s="312">
        <f>+D7</f>
        <v>1000</v>
      </c>
      <c r="E9" s="172">
        <f>+'Gastos de Comercialización'!L13*E7</f>
        <v>7242</v>
      </c>
      <c r="F9" s="246">
        <f t="shared" si="1"/>
        <v>-7242000</v>
      </c>
      <c r="G9" s="68">
        <f>+G7</f>
        <v>1400</v>
      </c>
      <c r="H9" s="172">
        <f>+'Gastos de Comercialización'!L18*H7</f>
        <v>7242</v>
      </c>
      <c r="I9" s="246">
        <f t="shared" si="2"/>
        <v>-10138800</v>
      </c>
      <c r="J9" s="68">
        <f>+J7</f>
        <v>2000</v>
      </c>
      <c r="K9" s="172">
        <f>+'Gastos de Comercialización'!L23*K7</f>
        <v>7242</v>
      </c>
      <c r="L9" s="246">
        <f t="shared" si="3"/>
        <v>-14484000</v>
      </c>
      <c r="M9" s="68">
        <f>+M7</f>
        <v>2800</v>
      </c>
      <c r="N9" s="172">
        <f>+'Gastos de Comercialización'!L28*N7</f>
        <v>7242</v>
      </c>
      <c r="O9" s="246">
        <f t="shared" si="4"/>
        <v>-20277600</v>
      </c>
      <c r="P9" s="68">
        <f>+P7</f>
        <v>4000</v>
      </c>
      <c r="Q9" s="172">
        <f>+'Gastos de Comercialización'!L33*Q7</f>
        <v>7242</v>
      </c>
      <c r="R9" s="246">
        <f t="shared" si="5"/>
        <v>-28968000</v>
      </c>
      <c r="S9" s="38"/>
      <c r="T9" s="38"/>
      <c r="U9" s="38"/>
      <c r="V9" s="91"/>
      <c r="W9" s="91"/>
      <c r="X9" s="91"/>
      <c r="Y9" s="91"/>
      <c r="Z9" s="91"/>
      <c r="AA9" s="91"/>
      <c r="AB9" s="91"/>
      <c r="AC9" s="27"/>
      <c r="AD9" s="27"/>
    </row>
    <row r="10" ht="13.5" customHeight="1">
      <c r="A10" s="27"/>
      <c r="B10" s="28"/>
      <c r="C10" s="416" t="s">
        <v>358</v>
      </c>
      <c r="D10" s="181"/>
      <c r="E10" s="182"/>
      <c r="F10" s="417">
        <f>SUM(F7:F9)</f>
        <v>116137343.4</v>
      </c>
      <c r="G10" s="177"/>
      <c r="H10" s="182"/>
      <c r="I10" s="417">
        <f>SUM(I7:I9)</f>
        <v>162592280.7</v>
      </c>
      <c r="J10" s="177"/>
      <c r="K10" s="182"/>
      <c r="L10" s="417">
        <f>SUM(L7:L9)</f>
        <v>232274686.8</v>
      </c>
      <c r="M10" s="177"/>
      <c r="N10" s="182"/>
      <c r="O10" s="417">
        <f>SUM(O7:O9)</f>
        <v>325184561.5</v>
      </c>
      <c r="P10" s="177"/>
      <c r="Q10" s="182"/>
      <c r="R10" s="417">
        <f>SUM(R7:R9)</f>
        <v>464549373.5</v>
      </c>
      <c r="S10" s="38"/>
      <c r="T10" s="38"/>
      <c r="U10" s="38"/>
      <c r="V10" s="91"/>
      <c r="W10" s="91"/>
      <c r="X10" s="91"/>
      <c r="Y10" s="91"/>
      <c r="Z10" s="91"/>
      <c r="AA10" s="91"/>
      <c r="AB10" s="91"/>
      <c r="AC10" s="27"/>
      <c r="AD10" s="27"/>
    </row>
    <row r="11" ht="13.5" customHeight="1">
      <c r="A11" s="27"/>
      <c r="B11" s="28"/>
      <c r="C11" s="261"/>
      <c r="D11" s="418"/>
      <c r="E11" s="418"/>
      <c r="F11" s="419"/>
      <c r="G11" s="418"/>
      <c r="H11" s="418"/>
      <c r="I11" s="419"/>
      <c r="J11" s="418"/>
      <c r="K11" s="418"/>
      <c r="L11" s="419"/>
      <c r="M11" s="418"/>
      <c r="N11" s="418"/>
      <c r="O11" s="419"/>
      <c r="P11" s="418"/>
      <c r="Q11" s="418"/>
      <c r="R11" s="419"/>
      <c r="S11" s="38"/>
      <c r="T11" s="38"/>
      <c r="U11" s="38"/>
      <c r="V11" s="91"/>
      <c r="W11" s="91"/>
      <c r="X11" s="91"/>
      <c r="Y11" s="91"/>
      <c r="Z11" s="91"/>
      <c r="AA11" s="91"/>
      <c r="AB11" s="91"/>
      <c r="AC11" s="27"/>
      <c r="AD11" s="27"/>
    </row>
    <row r="12" ht="13.5" customHeight="1">
      <c r="A12" s="27"/>
      <c r="B12" s="28"/>
      <c r="C12" s="310" t="s">
        <v>359</v>
      </c>
      <c r="D12" s="420"/>
      <c r="E12" s="421"/>
      <c r="F12" s="422">
        <f>-'Gastos Fijos de Fabricación'!L28</f>
        <v>-73252418.56</v>
      </c>
      <c r="G12" s="420"/>
      <c r="H12" s="421"/>
      <c r="I12" s="422">
        <f>-'Gastos Fijos de Fabricación'!L28</f>
        <v>-73252418.56</v>
      </c>
      <c r="J12" s="420"/>
      <c r="K12" s="421"/>
      <c r="L12" s="422">
        <f>-'Gastos Fijos de Fabricación'!L28</f>
        <v>-73252418.56</v>
      </c>
      <c r="M12" s="420"/>
      <c r="N12" s="421"/>
      <c r="O12" s="422">
        <f>-'Gastos Fijos de Fabricación'!L28</f>
        <v>-73252418.56</v>
      </c>
      <c r="P12" s="420"/>
      <c r="Q12" s="421"/>
      <c r="R12" s="423">
        <f>-'Gastos Fijos de Fabricación'!L28</f>
        <v>-73252418.56</v>
      </c>
      <c r="S12" s="38"/>
      <c r="T12" s="38"/>
      <c r="U12" s="38"/>
      <c r="V12" s="91"/>
      <c r="W12" s="91"/>
      <c r="X12" s="91"/>
      <c r="Y12" s="91"/>
      <c r="Z12" s="91"/>
      <c r="AA12" s="91"/>
      <c r="AB12" s="91"/>
      <c r="AC12" s="27"/>
      <c r="AD12" s="27"/>
    </row>
    <row r="13" ht="13.5" customHeight="1">
      <c r="A13" s="27"/>
      <c r="B13" s="28"/>
      <c r="C13" s="310" t="s">
        <v>360</v>
      </c>
      <c r="D13" s="420"/>
      <c r="E13" s="421"/>
      <c r="F13" s="422">
        <f>-'Gastos de Comercialización'!K44</f>
        <v>-33449712</v>
      </c>
      <c r="G13" s="420"/>
      <c r="H13" s="421"/>
      <c r="I13" s="422">
        <f>-'Gastos de Comercialización'!K44</f>
        <v>-33449712</v>
      </c>
      <c r="J13" s="420"/>
      <c r="K13" s="421"/>
      <c r="L13" s="422">
        <f>-'Gastos de Comercialización'!K44</f>
        <v>-33449712</v>
      </c>
      <c r="M13" s="420"/>
      <c r="N13" s="421"/>
      <c r="O13" s="422">
        <f>-'Gastos de Comercialización'!K44</f>
        <v>-33449712</v>
      </c>
      <c r="P13" s="420"/>
      <c r="Q13" s="421"/>
      <c r="R13" s="423">
        <f>-'Gastos de Comercialización'!K44</f>
        <v>-33449712</v>
      </c>
      <c r="S13" s="38"/>
      <c r="T13" s="38"/>
      <c r="U13" s="38"/>
      <c r="V13" s="91"/>
      <c r="W13" s="91"/>
      <c r="X13" s="91"/>
      <c r="Y13" s="91"/>
      <c r="Z13" s="91"/>
      <c r="AA13" s="91"/>
      <c r="AB13" s="91"/>
      <c r="AC13" s="27"/>
      <c r="AD13" s="27"/>
    </row>
    <row r="14" ht="13.5" customHeight="1">
      <c r="A14" s="27"/>
      <c r="B14" s="28"/>
      <c r="C14" s="310" t="s">
        <v>361</v>
      </c>
      <c r="D14" s="420"/>
      <c r="E14" s="421"/>
      <c r="F14" s="422">
        <f>-'Gastos Adm y Finanzas'!F29</f>
        <v>-27485000</v>
      </c>
      <c r="G14" s="420"/>
      <c r="H14" s="421"/>
      <c r="I14" s="422">
        <f>-'Gastos Adm y Finanzas'!F29</f>
        <v>-27485000</v>
      </c>
      <c r="J14" s="420"/>
      <c r="K14" s="421"/>
      <c r="L14" s="422">
        <f>-'Gastos Adm y Finanzas'!F29</f>
        <v>-27485000</v>
      </c>
      <c r="M14" s="420"/>
      <c r="N14" s="421"/>
      <c r="O14" s="422">
        <f>-'Gastos Adm y Finanzas'!F29</f>
        <v>-27485000</v>
      </c>
      <c r="P14" s="420"/>
      <c r="Q14" s="421"/>
      <c r="R14" s="423">
        <f>-'Gastos Adm y Finanzas'!F29</f>
        <v>-27485000</v>
      </c>
      <c r="S14" s="38"/>
      <c r="T14" s="38"/>
      <c r="U14" s="38"/>
      <c r="V14" s="91"/>
      <c r="W14" s="91"/>
      <c r="X14" s="91"/>
      <c r="Y14" s="91"/>
      <c r="Z14" s="91"/>
      <c r="AA14" s="91"/>
      <c r="AB14" s="91"/>
      <c r="AC14" s="27"/>
      <c r="AD14" s="27"/>
    </row>
    <row r="15" ht="30.0" customHeight="1">
      <c r="A15" s="424"/>
      <c r="B15" s="425"/>
      <c r="C15" s="426" t="s">
        <v>362</v>
      </c>
      <c r="D15" s="234"/>
      <c r="E15" s="234"/>
      <c r="F15" s="427">
        <f>SUM(F10:F14)</f>
        <v>-18049787.18</v>
      </c>
      <c r="G15" s="234"/>
      <c r="H15" s="234"/>
      <c r="I15" s="427">
        <f>SUM(I10:I14)</f>
        <v>28405150.18</v>
      </c>
      <c r="J15" s="234"/>
      <c r="K15" s="234"/>
      <c r="L15" s="427">
        <f>SUM(L10:L14)</f>
        <v>98087556.21</v>
      </c>
      <c r="M15" s="234"/>
      <c r="N15" s="234"/>
      <c r="O15" s="427">
        <f>SUM(O10:O14)</f>
        <v>190997430.9</v>
      </c>
      <c r="P15" s="234"/>
      <c r="Q15" s="234"/>
      <c r="R15" s="428">
        <f>SUM(R10:R14)</f>
        <v>330362243</v>
      </c>
      <c r="S15" s="429"/>
      <c r="T15" s="429"/>
      <c r="U15" s="429"/>
      <c r="V15" s="430"/>
      <c r="W15" s="430"/>
      <c r="X15" s="430"/>
      <c r="Y15" s="430"/>
      <c r="Z15" s="430"/>
      <c r="AA15" s="430"/>
      <c r="AB15" s="430"/>
      <c r="AC15" s="424"/>
      <c r="AD15" s="424"/>
    </row>
    <row r="16" ht="13.5" customHeight="1">
      <c r="A16" s="27"/>
      <c r="B16" s="28"/>
      <c r="C16" s="431"/>
      <c r="D16" s="199"/>
      <c r="E16" s="199"/>
      <c r="F16" s="432"/>
      <c r="G16" s="199"/>
      <c r="H16" s="199"/>
      <c r="I16" s="432"/>
      <c r="J16" s="199"/>
      <c r="K16" s="199"/>
      <c r="L16" s="432"/>
      <c r="M16" s="199"/>
      <c r="N16" s="199"/>
      <c r="O16" s="432"/>
      <c r="P16" s="199"/>
      <c r="Q16" s="199"/>
      <c r="R16" s="432"/>
      <c r="S16" s="38"/>
      <c r="T16" s="38"/>
      <c r="U16" s="38"/>
      <c r="V16" s="91"/>
      <c r="W16" s="91"/>
      <c r="X16" s="91"/>
      <c r="Y16" s="91"/>
      <c r="Z16" s="91"/>
      <c r="AA16" s="91"/>
      <c r="AB16" s="91"/>
      <c r="AC16" s="27"/>
      <c r="AD16" s="27"/>
    </row>
    <row r="17" ht="13.5" customHeight="1">
      <c r="A17" s="27"/>
      <c r="B17" s="28"/>
      <c r="C17" s="310" t="s">
        <v>363</v>
      </c>
      <c r="D17" s="433"/>
      <c r="E17" s="434"/>
      <c r="F17" s="422">
        <f>-'Activo no Corriente'!F25</f>
        <v>-13910600</v>
      </c>
      <c r="G17" s="433"/>
      <c r="H17" s="434"/>
      <c r="I17" s="422">
        <f>-'Activo no Corriente'!G25</f>
        <v>-10728666.67</v>
      </c>
      <c r="J17" s="433"/>
      <c r="K17" s="434"/>
      <c r="L17" s="422">
        <f>-'Activo no Corriente'!H25</f>
        <v>-7546733.333</v>
      </c>
      <c r="M17" s="433"/>
      <c r="N17" s="434"/>
      <c r="O17" s="422">
        <f>-'Activo no Corriente'!I25</f>
        <v>-4364800</v>
      </c>
      <c r="P17" s="433"/>
      <c r="Q17" s="434"/>
      <c r="R17" s="423">
        <f>-'Activo no Corriente'!J25</f>
        <v>-2096533.333</v>
      </c>
      <c r="S17" s="38"/>
      <c r="T17" s="38"/>
      <c r="U17" s="38"/>
      <c r="V17" s="91"/>
      <c r="W17" s="91"/>
      <c r="X17" s="91"/>
      <c r="Y17" s="91"/>
      <c r="Z17" s="91"/>
      <c r="AA17" s="91"/>
      <c r="AB17" s="91"/>
      <c r="AC17" s="27"/>
      <c r="AD17" s="27"/>
    </row>
    <row r="18" ht="12.75" customHeight="1">
      <c r="A18" s="424"/>
      <c r="B18" s="425"/>
      <c r="C18" s="426" t="s">
        <v>364</v>
      </c>
      <c r="D18" s="234"/>
      <c r="E18" s="234"/>
      <c r="F18" s="427">
        <f>F15+F17</f>
        <v>-31960387.18</v>
      </c>
      <c r="G18" s="234"/>
      <c r="H18" s="234"/>
      <c r="I18" s="427">
        <f>I15+I17</f>
        <v>17676483.51</v>
      </c>
      <c r="J18" s="234"/>
      <c r="K18" s="234"/>
      <c r="L18" s="427">
        <f>L15+L17</f>
        <v>90540822.87</v>
      </c>
      <c r="M18" s="234"/>
      <c r="N18" s="234"/>
      <c r="O18" s="427">
        <f>O15+O17</f>
        <v>186632630.9</v>
      </c>
      <c r="P18" s="234"/>
      <c r="Q18" s="234"/>
      <c r="R18" s="428">
        <f>R15+R17</f>
        <v>328265709.6</v>
      </c>
      <c r="S18" s="429"/>
      <c r="T18" s="429"/>
      <c r="U18" s="429"/>
      <c r="V18" s="430"/>
      <c r="W18" s="430"/>
      <c r="X18" s="430"/>
      <c r="Y18" s="430"/>
      <c r="Z18" s="430"/>
      <c r="AA18" s="430"/>
      <c r="AB18" s="430"/>
      <c r="AC18" s="424"/>
      <c r="AD18" s="424"/>
    </row>
    <row r="19" ht="13.5" customHeight="1">
      <c r="A19" s="27"/>
      <c r="B19" s="28"/>
      <c r="C19" s="435" t="s">
        <v>365</v>
      </c>
      <c r="D19" s="433"/>
      <c r="E19" s="434"/>
      <c r="F19" s="422">
        <v>0.0</v>
      </c>
      <c r="G19" s="433"/>
      <c r="H19" s="434"/>
      <c r="I19" s="422">
        <f>-I15*0.05</f>
        <v>-1420257.509</v>
      </c>
      <c r="J19" s="433"/>
      <c r="K19" s="434"/>
      <c r="L19" s="422">
        <f>-L15*0.05</f>
        <v>-4904377.81</v>
      </c>
      <c r="M19" s="433"/>
      <c r="N19" s="434"/>
      <c r="O19" s="422">
        <f>-O15*0.05</f>
        <v>-9549871.546</v>
      </c>
      <c r="P19" s="433"/>
      <c r="Q19" s="434"/>
      <c r="R19" s="422">
        <f>-R15*0.05</f>
        <v>-16518112.15</v>
      </c>
      <c r="S19" s="38"/>
      <c r="T19" s="38"/>
      <c r="U19" s="38"/>
      <c r="V19" s="91"/>
      <c r="W19" s="91"/>
      <c r="X19" s="91"/>
      <c r="Y19" s="91"/>
      <c r="Z19" s="91"/>
      <c r="AA19" s="91"/>
      <c r="AB19" s="91"/>
      <c r="AC19" s="27"/>
      <c r="AD19" s="27"/>
    </row>
    <row r="20" ht="12.75" customHeight="1">
      <c r="A20" s="424"/>
      <c r="B20" s="425"/>
      <c r="C20" s="426" t="s">
        <v>366</v>
      </c>
      <c r="D20" s="234"/>
      <c r="E20" s="234"/>
      <c r="F20" s="427">
        <f>SUM(F18:F19)</f>
        <v>-31960387.18</v>
      </c>
      <c r="G20" s="234"/>
      <c r="H20" s="234"/>
      <c r="I20" s="427">
        <f>SUM(I18:I19)</f>
        <v>16256226</v>
      </c>
      <c r="J20" s="234"/>
      <c r="K20" s="234"/>
      <c r="L20" s="427">
        <f>SUM(L18:L19)</f>
        <v>85636445.06</v>
      </c>
      <c r="M20" s="234"/>
      <c r="N20" s="234"/>
      <c r="O20" s="427">
        <f>SUM(O18:O19)</f>
        <v>177082759.4</v>
      </c>
      <c r="P20" s="234"/>
      <c r="Q20" s="234"/>
      <c r="R20" s="428">
        <f>SUM(R18:R19)</f>
        <v>311747597.5</v>
      </c>
      <c r="S20" s="429"/>
      <c r="T20" s="429"/>
      <c r="U20" s="429"/>
      <c r="V20" s="430"/>
      <c r="W20" s="430"/>
      <c r="X20" s="430"/>
      <c r="Y20" s="430"/>
      <c r="Z20" s="430"/>
      <c r="AA20" s="430"/>
      <c r="AB20" s="430"/>
      <c r="AC20" s="424"/>
      <c r="AD20" s="424"/>
    </row>
    <row r="21" ht="13.5" customHeight="1">
      <c r="A21" s="27"/>
      <c r="B21" s="28"/>
      <c r="C21" s="310" t="s">
        <v>367</v>
      </c>
      <c r="D21" s="433"/>
      <c r="E21" s="434"/>
      <c r="F21" s="422">
        <f>-F75</f>
        <v>-7948219.741</v>
      </c>
      <c r="G21" s="433"/>
      <c r="H21" s="434"/>
      <c r="I21" s="422">
        <f>-I75</f>
        <v>-6358575.793</v>
      </c>
      <c r="J21" s="433"/>
      <c r="K21" s="434"/>
      <c r="L21" s="422">
        <f>-L75</f>
        <v>-4768931.845</v>
      </c>
      <c r="M21" s="433"/>
      <c r="N21" s="434"/>
      <c r="O21" s="422">
        <f>-O75</f>
        <v>-3179287.896</v>
      </c>
      <c r="P21" s="433"/>
      <c r="Q21" s="434"/>
      <c r="R21" s="423">
        <f>-R75</f>
        <v>-1589643.948</v>
      </c>
      <c r="S21" s="38"/>
      <c r="T21" s="38"/>
      <c r="U21" s="38"/>
      <c r="V21" s="91"/>
      <c r="W21" s="91"/>
      <c r="X21" s="91"/>
      <c r="Y21" s="91"/>
      <c r="Z21" s="91"/>
      <c r="AA21" s="91"/>
      <c r="AB21" s="91"/>
      <c r="AC21" s="27"/>
      <c r="AD21" s="27"/>
    </row>
    <row r="22" ht="13.5" customHeight="1">
      <c r="A22" s="27"/>
      <c r="B22" s="28"/>
      <c r="C22" s="310" t="s">
        <v>368</v>
      </c>
      <c r="D22" s="433"/>
      <c r="E22" s="434"/>
      <c r="F22" s="422">
        <f>+E22*F31</f>
        <v>0</v>
      </c>
      <c r="G22" s="433"/>
      <c r="H22" s="434"/>
      <c r="I22" s="422">
        <f>+E22*I31</f>
        <v>0</v>
      </c>
      <c r="J22" s="433"/>
      <c r="K22" s="434"/>
      <c r="L22" s="422">
        <f>+E22*L31</f>
        <v>0</v>
      </c>
      <c r="M22" s="433"/>
      <c r="N22" s="434"/>
      <c r="O22" s="422">
        <f>+E22*O31</f>
        <v>0</v>
      </c>
      <c r="P22" s="433"/>
      <c r="Q22" s="434"/>
      <c r="R22" s="423">
        <f>+E22*R31</f>
        <v>0</v>
      </c>
      <c r="S22" s="38" t="s">
        <v>6</v>
      </c>
      <c r="T22" s="38"/>
      <c r="U22" s="38"/>
      <c r="V22" s="91"/>
      <c r="W22" s="91"/>
      <c r="X22" s="91"/>
      <c r="Y22" s="91"/>
      <c r="Z22" s="91"/>
      <c r="AA22" s="91"/>
      <c r="AB22" s="91"/>
      <c r="AC22" s="27"/>
      <c r="AD22" s="27"/>
    </row>
    <row r="23" ht="12.75" customHeight="1">
      <c r="A23" s="424"/>
      <c r="B23" s="425"/>
      <c r="C23" s="426" t="s">
        <v>369</v>
      </c>
      <c r="D23" s="234"/>
      <c r="E23" s="234"/>
      <c r="F23" s="427">
        <f>SUM(F20:F22)</f>
        <v>-39908606.92</v>
      </c>
      <c r="G23" s="234"/>
      <c r="H23" s="234"/>
      <c r="I23" s="427">
        <f>SUM(I20:I22)</f>
        <v>9897650.21</v>
      </c>
      <c r="J23" s="234"/>
      <c r="K23" s="234"/>
      <c r="L23" s="427">
        <f>SUM(L20:L22)</f>
        <v>80867513.22</v>
      </c>
      <c r="M23" s="234"/>
      <c r="N23" s="234"/>
      <c r="O23" s="427">
        <f>SUM(O20:O22)</f>
        <v>173903471.5</v>
      </c>
      <c r="P23" s="234"/>
      <c r="Q23" s="234"/>
      <c r="R23" s="428">
        <f>SUM(R20:R22)</f>
        <v>310157953.5</v>
      </c>
      <c r="S23" s="429"/>
      <c r="T23" s="429"/>
      <c r="U23" s="429"/>
      <c r="V23" s="430"/>
      <c r="W23" s="430"/>
      <c r="X23" s="430"/>
      <c r="Y23" s="430"/>
      <c r="Z23" s="430"/>
      <c r="AA23" s="430"/>
      <c r="AB23" s="430"/>
      <c r="AC23" s="424"/>
      <c r="AD23" s="424"/>
    </row>
    <row r="24" ht="13.5" customHeight="1">
      <c r="A24" s="27"/>
      <c r="B24" s="28"/>
      <c r="C24" s="310" t="s">
        <v>370</v>
      </c>
      <c r="D24" s="433"/>
      <c r="E24" s="434"/>
      <c r="F24" s="422">
        <f>IF(F23&gt;0,-Consideraciones!$D$17*F23,0)</f>
        <v>0</v>
      </c>
      <c r="G24" s="433"/>
      <c r="H24" s="434"/>
      <c r="I24" s="422">
        <f>IF(I23&gt;0,-Consideraciones!$D$17*I23,0)</f>
        <v>-3464177.573</v>
      </c>
      <c r="J24" s="433"/>
      <c r="K24" s="434"/>
      <c r="L24" s="422">
        <f>IF(L23&gt;0,-Consideraciones!$D$17*L23,0)</f>
        <v>-28303629.63</v>
      </c>
      <c r="M24" s="433"/>
      <c r="N24" s="434"/>
      <c r="O24" s="422">
        <f>IF(O23&gt;0,-Consideraciones!$D$17*O23,0)</f>
        <v>-60866215.02</v>
      </c>
      <c r="P24" s="433"/>
      <c r="Q24" s="434"/>
      <c r="R24" s="423">
        <f>IF(R23&gt;0,-Consideraciones!$D$17*R23,0)</f>
        <v>-108555283.7</v>
      </c>
      <c r="S24" s="38"/>
      <c r="T24" s="38"/>
      <c r="U24" s="38"/>
      <c r="V24" s="91"/>
      <c r="W24" s="91"/>
      <c r="X24" s="91"/>
      <c r="Y24" s="91"/>
      <c r="Z24" s="91"/>
      <c r="AA24" s="91"/>
      <c r="AB24" s="91"/>
      <c r="AC24" s="27"/>
      <c r="AD24" s="27"/>
    </row>
    <row r="25" ht="12.75" customHeight="1">
      <c r="A25" s="424"/>
      <c r="B25" s="425"/>
      <c r="C25" s="436" t="s">
        <v>371</v>
      </c>
      <c r="D25" s="234"/>
      <c r="E25" s="234"/>
      <c r="F25" s="427">
        <f>SUM(F23:F24)</f>
        <v>-39908606.92</v>
      </c>
      <c r="G25" s="234"/>
      <c r="H25" s="234"/>
      <c r="I25" s="427">
        <f>SUM(I23:I24)</f>
        <v>6433472.636</v>
      </c>
      <c r="J25" s="234"/>
      <c r="K25" s="234"/>
      <c r="L25" s="427">
        <f>SUM(L23:L24)</f>
        <v>52563883.59</v>
      </c>
      <c r="M25" s="234"/>
      <c r="N25" s="234"/>
      <c r="O25" s="427">
        <f>SUM(O23:O24)</f>
        <v>113037256.5</v>
      </c>
      <c r="P25" s="234"/>
      <c r="Q25" s="234"/>
      <c r="R25" s="428">
        <f>SUM(R23:R24)</f>
        <v>201602669.8</v>
      </c>
      <c r="S25" s="429"/>
      <c r="T25" s="429"/>
      <c r="U25" s="429"/>
      <c r="V25" s="430"/>
      <c r="W25" s="430"/>
      <c r="X25" s="430"/>
      <c r="Y25" s="430"/>
      <c r="Z25" s="430"/>
      <c r="AA25" s="430"/>
      <c r="AB25" s="430"/>
      <c r="AC25" s="424"/>
      <c r="AD25" s="424"/>
    </row>
    <row r="26" ht="12.75" customHeight="1">
      <c r="A26" s="424"/>
      <c r="B26" s="425"/>
      <c r="C26" s="437"/>
      <c r="D26" s="438"/>
      <c r="E26" s="438"/>
      <c r="F26" s="439"/>
      <c r="G26" s="438"/>
      <c r="H26" s="438"/>
      <c r="I26" s="439"/>
      <c r="J26" s="438"/>
      <c r="K26" s="438"/>
      <c r="L26" s="439"/>
      <c r="M26" s="438"/>
      <c r="N26" s="438"/>
      <c r="O26" s="439"/>
      <c r="P26" s="438"/>
      <c r="Q26" s="438"/>
      <c r="R26" s="439"/>
      <c r="S26" s="429"/>
      <c r="T26" s="429"/>
      <c r="U26" s="429"/>
      <c r="V26" s="430"/>
      <c r="W26" s="430"/>
      <c r="X26" s="430"/>
      <c r="Y26" s="430"/>
      <c r="Z26" s="430"/>
      <c r="AA26" s="430"/>
      <c r="AB26" s="430"/>
      <c r="AC26" s="424"/>
      <c r="AD26" s="424"/>
    </row>
    <row r="27" ht="12.75" customHeight="1">
      <c r="A27" s="424"/>
      <c r="B27" s="425"/>
      <c r="C27" s="437"/>
      <c r="D27" s="440"/>
      <c r="E27" s="438"/>
      <c r="F27" s="439"/>
      <c r="G27" s="438"/>
      <c r="H27" s="438"/>
      <c r="I27" s="439"/>
      <c r="J27" s="438"/>
      <c r="K27" s="438"/>
      <c r="L27" s="439"/>
      <c r="M27" s="438"/>
      <c r="N27" s="438"/>
      <c r="O27" s="439"/>
      <c r="P27" s="438"/>
      <c r="Q27" s="438"/>
      <c r="R27" s="439"/>
      <c r="S27" s="429"/>
      <c r="T27" s="429"/>
      <c r="U27" s="429"/>
      <c r="V27" s="430"/>
      <c r="W27" s="430"/>
      <c r="X27" s="430"/>
      <c r="Y27" s="430"/>
      <c r="Z27" s="430"/>
      <c r="AA27" s="430"/>
      <c r="AB27" s="430"/>
      <c r="AC27" s="424"/>
      <c r="AD27" s="424"/>
    </row>
    <row r="28" ht="13.5" customHeight="1">
      <c r="A28" s="27"/>
      <c r="B28" s="28"/>
      <c r="C28" s="167" t="s">
        <v>372</v>
      </c>
      <c r="D28" s="166"/>
      <c r="E28" s="166"/>
      <c r="F28" s="441" t="str">
        <f>+IF(F34/'Costos Variables de Fabricación'!$L$34&gt;Mercado!$H$23,"La cantidad de dias supera la capacidad máx","")</f>
        <v/>
      </c>
      <c r="G28" s="166"/>
      <c r="H28" s="166"/>
      <c r="I28" s="441" t="str">
        <f>+IF(I34/'Costos Variables de Fabricación'!$L$34&gt;Mercado!$H$24,"La cantidad de dias supera la capacidad máx","")</f>
        <v/>
      </c>
      <c r="J28" s="166"/>
      <c r="K28" s="166"/>
      <c r="L28" s="441" t="str">
        <f>+IF(L34/'Costos Variables de Fabricación'!$L$34&gt;Mercado!$H$25,"La cantidad de dias supera la capacidad máx","")</f>
        <v/>
      </c>
      <c r="M28" s="166"/>
      <c r="N28" s="166"/>
      <c r="O28" s="441" t="str">
        <f>+IF(O34/'Costos Variables de Fabricación'!$L$34&gt;Mercado!$H$26,"La cantidad de dias supera la capacidad máx","")</f>
        <v/>
      </c>
      <c r="P28" s="166"/>
      <c r="Q28" s="166"/>
      <c r="R28" s="441" t="str">
        <f>+IF(R34/'Costos Variables de Fabricación'!$L$34&gt;Mercado!$H$23,"La cantidad de dias supera la capacidad máx","")</f>
        <v/>
      </c>
      <c r="S28" s="38"/>
      <c r="T28" s="38"/>
      <c r="U28" s="38"/>
      <c r="V28" s="91"/>
      <c r="W28" s="91"/>
      <c r="X28" s="91"/>
      <c r="Y28" s="91"/>
      <c r="Z28" s="91"/>
      <c r="AA28" s="91"/>
      <c r="AB28" s="91"/>
      <c r="AC28" s="27"/>
      <c r="AD28" s="27"/>
    </row>
    <row r="29" ht="13.5" customHeight="1">
      <c r="A29" s="27"/>
      <c r="B29" s="28"/>
      <c r="C29" s="166"/>
      <c r="D29" s="44" t="s">
        <v>270</v>
      </c>
      <c r="E29" s="45"/>
      <c r="F29" s="44" t="s">
        <v>235</v>
      </c>
      <c r="G29" s="442"/>
      <c r="H29" s="45"/>
      <c r="I29" s="44" t="s">
        <v>243</v>
      </c>
      <c r="J29" s="442"/>
      <c r="K29" s="45"/>
      <c r="L29" s="44" t="s">
        <v>246</v>
      </c>
      <c r="M29" s="442"/>
      <c r="N29" s="45"/>
      <c r="O29" s="44" t="s">
        <v>249</v>
      </c>
      <c r="P29" s="442"/>
      <c r="Q29" s="45"/>
      <c r="R29" s="443" t="s">
        <v>254</v>
      </c>
      <c r="S29" s="444"/>
      <c r="T29" s="445"/>
      <c r="U29" s="38"/>
      <c r="V29" s="91"/>
      <c r="W29" s="91"/>
      <c r="X29" s="91"/>
      <c r="Y29" s="91"/>
      <c r="Z29" s="91"/>
      <c r="AA29" s="91"/>
      <c r="AB29" s="91"/>
      <c r="AC29" s="27"/>
      <c r="AD29" s="27"/>
    </row>
    <row r="30" ht="13.5" customHeight="1">
      <c r="A30" s="27"/>
      <c r="B30" s="28"/>
      <c r="C30" s="36" t="s">
        <v>373</v>
      </c>
      <c r="D30" s="446">
        <f>+'Capital de trabajo'!D13</f>
        <v>17617889.82</v>
      </c>
      <c r="E30" s="447">
        <f t="shared" ref="E30:E35" si="6">D30/$D$41</f>
        <v>0.2305246458</v>
      </c>
      <c r="F30" s="446">
        <f>+D30+F89</f>
        <v>1836659.587</v>
      </c>
      <c r="G30" s="247">
        <f>F30*365/F7</f>
        <v>4.176827097</v>
      </c>
      <c r="H30" s="447">
        <f t="shared" ref="H30:H35" si="7">F30/$F$41</f>
        <v>0.03190730116</v>
      </c>
      <c r="I30" s="446">
        <f>F30+I89</f>
        <v>-6852752.359</v>
      </c>
      <c r="J30" s="247">
        <f>I30*365/I7</f>
        <v>-11.1315292</v>
      </c>
      <c r="K30" s="447">
        <f t="shared" ref="K30:K35" si="8">I30/$F$41</f>
        <v>-0.1190491885</v>
      </c>
      <c r="L30" s="446">
        <f>I30+L89</f>
        <v>23469777.8</v>
      </c>
      <c r="M30" s="247">
        <f>L30*365/L7</f>
        <v>26.68681899</v>
      </c>
      <c r="N30" s="447">
        <f t="shared" ref="N30:N35" si="9">L30/$F$41</f>
        <v>0.4077278521</v>
      </c>
      <c r="O30" s="446">
        <f>L30+O89</f>
        <v>88159162.87</v>
      </c>
      <c r="P30" s="247">
        <f>O30*365/O7</f>
        <v>71.60234635</v>
      </c>
      <c r="Q30" s="447">
        <f t="shared" ref="Q30:Q35" si="10">O30/$F$41</f>
        <v>1.531541817</v>
      </c>
      <c r="R30" s="446">
        <f>O30+R89</f>
        <v>205404657.4</v>
      </c>
      <c r="S30" s="247">
        <f>R30*365/R7</f>
        <v>116.7799065</v>
      </c>
      <c r="T30" s="447">
        <f t="shared" ref="T30:T35" si="11">R30/$R$41</f>
        <v>0.6810999148</v>
      </c>
      <c r="U30" s="38"/>
      <c r="V30" s="91"/>
      <c r="W30" s="91"/>
      <c r="X30" s="91"/>
      <c r="Y30" s="91"/>
      <c r="Z30" s="91"/>
      <c r="AA30" s="91"/>
      <c r="AB30" s="91"/>
      <c r="AC30" s="27"/>
      <c r="AD30" s="27"/>
    </row>
    <row r="31" ht="13.5" customHeight="1">
      <c r="A31" s="27"/>
      <c r="B31" s="28"/>
      <c r="C31" s="36" t="s">
        <v>374</v>
      </c>
      <c r="D31" s="448"/>
      <c r="E31" s="449">
        <f t="shared" si="6"/>
        <v>0</v>
      </c>
      <c r="F31" s="448"/>
      <c r="G31" s="450"/>
      <c r="H31" s="447">
        <f t="shared" si="7"/>
        <v>0</v>
      </c>
      <c r="I31" s="448"/>
      <c r="J31" s="450"/>
      <c r="K31" s="447">
        <f t="shared" si="8"/>
        <v>0</v>
      </c>
      <c r="L31" s="448"/>
      <c r="M31" s="450"/>
      <c r="N31" s="447">
        <f t="shared" si="9"/>
        <v>0</v>
      </c>
      <c r="O31" s="448"/>
      <c r="P31" s="450"/>
      <c r="Q31" s="447">
        <f t="shared" si="10"/>
        <v>0</v>
      </c>
      <c r="R31" s="448">
        <v>1.0</v>
      </c>
      <c r="S31" s="451"/>
      <c r="T31" s="447">
        <f t="shared" si="11"/>
        <v>0.000000003315893239</v>
      </c>
      <c r="U31" s="38"/>
      <c r="V31" s="91"/>
      <c r="W31" s="91"/>
      <c r="X31" s="91"/>
      <c r="Y31" s="91"/>
      <c r="Z31" s="91"/>
      <c r="AA31" s="91"/>
      <c r="AB31" s="91"/>
      <c r="AC31" s="27"/>
      <c r="AD31" s="27"/>
    </row>
    <row r="32" ht="13.5" customHeight="1">
      <c r="A32" s="27"/>
      <c r="B32" s="28"/>
      <c r="C32" s="36" t="s">
        <v>375</v>
      </c>
      <c r="D32" s="448">
        <v>0.0</v>
      </c>
      <c r="E32" s="449">
        <f t="shared" si="6"/>
        <v>0</v>
      </c>
      <c r="F32" s="446">
        <f>G32*F7/365</f>
        <v>13191780.82</v>
      </c>
      <c r="G32" s="40">
        <v>30.0</v>
      </c>
      <c r="H32" s="447">
        <f t="shared" si="7"/>
        <v>0.2291737275</v>
      </c>
      <c r="I32" s="446">
        <f>J32*I7/365</f>
        <v>18468493.15</v>
      </c>
      <c r="J32" s="40">
        <v>30.0</v>
      </c>
      <c r="K32" s="447">
        <f t="shared" si="8"/>
        <v>0.3208432184</v>
      </c>
      <c r="L32" s="446">
        <f>M32*L7/365</f>
        <v>26383561.64</v>
      </c>
      <c r="M32" s="40">
        <v>30.0</v>
      </c>
      <c r="N32" s="447">
        <f t="shared" si="9"/>
        <v>0.4583474549</v>
      </c>
      <c r="O32" s="446">
        <f>P32*O7/365</f>
        <v>36936986.3</v>
      </c>
      <c r="P32" s="40">
        <v>30.0</v>
      </c>
      <c r="Q32" s="447">
        <f t="shared" si="10"/>
        <v>0.6416864369</v>
      </c>
      <c r="R32" s="446">
        <f>S32*R7/365</f>
        <v>52767123.29</v>
      </c>
      <c r="S32" s="40">
        <v>30.0</v>
      </c>
      <c r="T32" s="447">
        <f t="shared" si="11"/>
        <v>0.1749701474</v>
      </c>
      <c r="U32" s="38"/>
      <c r="V32" s="91"/>
      <c r="W32" s="91"/>
      <c r="X32" s="91"/>
      <c r="Y32" s="91"/>
      <c r="Z32" s="91"/>
      <c r="AA32" s="91"/>
      <c r="AB32" s="91"/>
      <c r="AC32" s="27"/>
      <c r="AD32" s="27"/>
    </row>
    <row r="33" ht="13.5" customHeight="1">
      <c r="A33" s="27"/>
      <c r="B33" s="28"/>
      <c r="C33" s="36" t="s">
        <v>376</v>
      </c>
      <c r="D33" s="446">
        <f>'Activo no Corriente'!E15+'Capital de trabajo'!D7</f>
        <v>11157300</v>
      </c>
      <c r="E33" s="447">
        <f t="shared" si="6"/>
        <v>0.1459898239</v>
      </c>
      <c r="F33" s="448">
        <v>0.0</v>
      </c>
      <c r="G33" s="450"/>
      <c r="H33" s="447">
        <f t="shared" si="7"/>
        <v>0</v>
      </c>
      <c r="I33" s="448">
        <v>0.0</v>
      </c>
      <c r="J33" s="450"/>
      <c r="K33" s="447">
        <f t="shared" si="8"/>
        <v>0</v>
      </c>
      <c r="L33" s="448">
        <v>0.0</v>
      </c>
      <c r="M33" s="450"/>
      <c r="N33" s="447">
        <f t="shared" si="9"/>
        <v>0</v>
      </c>
      <c r="O33" s="448">
        <v>0.0</v>
      </c>
      <c r="P33" s="450"/>
      <c r="Q33" s="447">
        <f t="shared" si="10"/>
        <v>0</v>
      </c>
      <c r="R33" s="448">
        <v>0.0</v>
      </c>
      <c r="S33" s="450"/>
      <c r="T33" s="447">
        <f t="shared" si="11"/>
        <v>0</v>
      </c>
      <c r="U33" s="38"/>
      <c r="V33" s="91"/>
      <c r="W33" s="91"/>
      <c r="X33" s="91"/>
      <c r="Y33" s="91"/>
      <c r="Z33" s="91"/>
      <c r="AA33" s="91"/>
      <c r="AB33" s="91"/>
      <c r="AC33" s="27"/>
      <c r="AD33" s="27"/>
    </row>
    <row r="34" ht="13.5" customHeight="1">
      <c r="A34" s="27"/>
      <c r="B34" s="28"/>
      <c r="C34" s="36" t="s">
        <v>377</v>
      </c>
      <c r="D34" s="448">
        <v>0.0</v>
      </c>
      <c r="E34" s="449">
        <f t="shared" si="6"/>
        <v>0</v>
      </c>
      <c r="F34" s="446">
        <f>G34*F7/365</f>
        <v>8794520.548</v>
      </c>
      <c r="G34" s="40">
        <v>20.0</v>
      </c>
      <c r="H34" s="447">
        <f t="shared" si="7"/>
        <v>0.152782485</v>
      </c>
      <c r="I34" s="446">
        <f>J34*I7/365</f>
        <v>12312328.77</v>
      </c>
      <c r="J34" s="40">
        <v>20.0</v>
      </c>
      <c r="K34" s="447">
        <f t="shared" si="8"/>
        <v>0.213895479</v>
      </c>
      <c r="L34" s="446">
        <f>M34*L7/365</f>
        <v>17589041.1</v>
      </c>
      <c r="M34" s="40">
        <v>20.0</v>
      </c>
      <c r="N34" s="447">
        <f t="shared" si="9"/>
        <v>0.3055649699</v>
      </c>
      <c r="O34" s="446">
        <f>P34*O7/365</f>
        <v>24624657.53</v>
      </c>
      <c r="P34" s="40">
        <v>20.0</v>
      </c>
      <c r="Q34" s="447">
        <f t="shared" si="10"/>
        <v>0.4277909579</v>
      </c>
      <c r="R34" s="446">
        <f>S34*R7/365</f>
        <v>35178082.19</v>
      </c>
      <c r="S34" s="40">
        <v>20.0</v>
      </c>
      <c r="T34" s="447">
        <f t="shared" si="11"/>
        <v>0.1166467649</v>
      </c>
      <c r="U34" s="38"/>
      <c r="V34" s="91"/>
      <c r="W34" s="91"/>
      <c r="X34" s="91"/>
      <c r="Y34" s="91"/>
      <c r="Z34" s="91"/>
      <c r="AA34" s="91"/>
      <c r="AB34" s="91"/>
      <c r="AC34" s="27"/>
      <c r="AD34" s="27"/>
    </row>
    <row r="35" ht="13.5" customHeight="1">
      <c r="A35" s="27"/>
      <c r="B35" s="28"/>
      <c r="C35" s="452" t="s">
        <v>378</v>
      </c>
      <c r="D35" s="453">
        <f>SUM(D30:D34)</f>
        <v>28775189.82</v>
      </c>
      <c r="E35" s="454">
        <f t="shared" si="6"/>
        <v>0.3765144697</v>
      </c>
      <c r="F35" s="453">
        <f>SUM(F30:F34)</f>
        <v>23822960.96</v>
      </c>
      <c r="G35" s="455"/>
      <c r="H35" s="454">
        <f t="shared" si="7"/>
        <v>0.4138635136</v>
      </c>
      <c r="I35" s="453">
        <f>SUM(I30:I34)</f>
        <v>23928069.56</v>
      </c>
      <c r="J35" s="455"/>
      <c r="K35" s="454">
        <f t="shared" si="8"/>
        <v>0.4156895089</v>
      </c>
      <c r="L35" s="453">
        <f>SUM(L30:L34)</f>
        <v>67442380.54</v>
      </c>
      <c r="M35" s="455"/>
      <c r="N35" s="454">
        <f t="shared" si="9"/>
        <v>1.171640277</v>
      </c>
      <c r="O35" s="453">
        <f>SUM(O30:O34)</f>
        <v>149720806.7</v>
      </c>
      <c r="P35" s="455"/>
      <c r="Q35" s="454">
        <f t="shared" si="10"/>
        <v>2.601019211</v>
      </c>
      <c r="R35" s="453">
        <f>SUM(R30:R34)</f>
        <v>293349863.9</v>
      </c>
      <c r="S35" s="455"/>
      <c r="T35" s="454">
        <f t="shared" si="11"/>
        <v>0.9727168304</v>
      </c>
      <c r="U35" s="38"/>
      <c r="V35" s="91"/>
      <c r="W35" s="91"/>
      <c r="X35" s="91"/>
      <c r="Y35" s="91"/>
      <c r="Z35" s="91"/>
      <c r="AA35" s="91"/>
      <c r="AB35" s="91"/>
      <c r="AC35" s="27"/>
      <c r="AD35" s="27"/>
    </row>
    <row r="36" ht="13.5" customHeight="1">
      <c r="A36" s="27"/>
      <c r="B36" s="28"/>
      <c r="C36" s="456"/>
      <c r="D36" s="457"/>
      <c r="E36" s="458"/>
      <c r="F36" s="457"/>
      <c r="G36" s="459"/>
      <c r="H36" s="458"/>
      <c r="I36" s="457"/>
      <c r="J36" s="459"/>
      <c r="K36" s="458"/>
      <c r="L36" s="457"/>
      <c r="M36" s="459"/>
      <c r="N36" s="458"/>
      <c r="O36" s="457"/>
      <c r="P36" s="459"/>
      <c r="Q36" s="458"/>
      <c r="R36" s="457"/>
      <c r="S36" s="460"/>
      <c r="T36" s="458"/>
      <c r="U36" s="38"/>
      <c r="V36" s="91"/>
      <c r="W36" s="91"/>
      <c r="X36" s="91"/>
      <c r="Y36" s="91"/>
      <c r="Z36" s="91"/>
      <c r="AA36" s="91"/>
      <c r="AB36" s="91"/>
      <c r="AC36" s="27"/>
      <c r="AD36" s="27"/>
    </row>
    <row r="37" ht="13.5" customHeight="1">
      <c r="A37" s="27"/>
      <c r="B37" s="28"/>
      <c r="C37" s="437"/>
      <c r="D37" s="461"/>
      <c r="E37" s="462"/>
      <c r="F37" s="461"/>
      <c r="G37" s="463"/>
      <c r="H37" s="462"/>
      <c r="I37" s="461"/>
      <c r="J37" s="463"/>
      <c r="K37" s="462"/>
      <c r="L37" s="461"/>
      <c r="M37" s="463"/>
      <c r="N37" s="462"/>
      <c r="O37" s="461"/>
      <c r="P37" s="463"/>
      <c r="Q37" s="462"/>
      <c r="R37" s="461"/>
      <c r="S37" s="460"/>
      <c r="T37" s="462"/>
      <c r="U37" s="38"/>
      <c r="V37" s="91"/>
      <c r="W37" s="91"/>
      <c r="X37" s="91"/>
      <c r="Y37" s="91"/>
      <c r="Z37" s="91"/>
      <c r="AA37" s="91"/>
      <c r="AB37" s="91"/>
      <c r="AC37" s="27"/>
      <c r="AD37" s="27"/>
    </row>
    <row r="38" ht="13.5" customHeight="1">
      <c r="A38" s="27"/>
      <c r="B38" s="28"/>
      <c r="C38" s="437"/>
      <c r="D38" s="461"/>
      <c r="E38" s="462"/>
      <c r="F38" s="461"/>
      <c r="G38" s="463"/>
      <c r="H38" s="464"/>
      <c r="I38" s="461"/>
      <c r="J38" s="463"/>
      <c r="K38" s="464"/>
      <c r="L38" s="461"/>
      <c r="M38" s="463"/>
      <c r="N38" s="464"/>
      <c r="O38" s="461"/>
      <c r="P38" s="463"/>
      <c r="Q38" s="464"/>
      <c r="R38" s="461"/>
      <c r="S38" s="460"/>
      <c r="T38" s="464"/>
      <c r="U38" s="38"/>
      <c r="V38" s="91"/>
      <c r="W38" s="91"/>
      <c r="X38" s="91"/>
      <c r="Y38" s="91"/>
      <c r="Z38" s="91"/>
      <c r="AA38" s="91"/>
      <c r="AB38" s="91"/>
      <c r="AC38" s="27"/>
      <c r="AD38" s="28"/>
    </row>
    <row r="39" ht="13.5" customHeight="1">
      <c r="A39" s="27"/>
      <c r="B39" s="28"/>
      <c r="C39" s="190" t="s">
        <v>379</v>
      </c>
      <c r="D39" s="446">
        <f>'Activo no Corriente'!E14</f>
        <v>47650000</v>
      </c>
      <c r="E39" s="447">
        <f t="shared" ref="E39:E41" si="12">D39/$D$41</f>
        <v>0.6234855303</v>
      </c>
      <c r="F39" s="446">
        <f>'Activo no Corriente'!F14</f>
        <v>33739400</v>
      </c>
      <c r="G39" s="450"/>
      <c r="H39" s="465">
        <f t="shared" ref="H39:H41" si="13">F39/$F$41</f>
        <v>0.5861364864</v>
      </c>
      <c r="I39" s="446">
        <f>'Activo no Corriente'!G14</f>
        <v>23010733.33</v>
      </c>
      <c r="J39" s="466"/>
      <c r="K39" s="465">
        <f t="shared" ref="K39:K41" si="14">I39/$F$41</f>
        <v>0.3997531191</v>
      </c>
      <c r="L39" s="446">
        <f>'Activo no Corriente'!H14</f>
        <v>15464000</v>
      </c>
      <c r="M39" s="466"/>
      <c r="N39" s="465">
        <f t="shared" ref="N39:N41" si="15">L39/$F$41</f>
        <v>0.2686477716</v>
      </c>
      <c r="O39" s="446">
        <f>'Activo no Corriente'!I14</f>
        <v>11099200</v>
      </c>
      <c r="P39" s="466"/>
      <c r="Q39" s="465">
        <f t="shared" ref="Q39:Q41" si="16">O39/$F$41</f>
        <v>0.192820444</v>
      </c>
      <c r="R39" s="446">
        <f>'Activo no Corriente'!J14</f>
        <v>8228000</v>
      </c>
      <c r="S39" s="451"/>
      <c r="T39" s="465">
        <f t="shared" ref="T39:T41" si="17">R39/$R$41</f>
        <v>0.02728316957</v>
      </c>
      <c r="U39" s="38"/>
      <c r="V39" s="91"/>
      <c r="W39" s="91"/>
      <c r="X39" s="91"/>
      <c r="Y39" s="91"/>
      <c r="Z39" s="91"/>
      <c r="AA39" s="91"/>
      <c r="AB39" s="91"/>
      <c r="AC39" s="27"/>
      <c r="AD39" s="27"/>
    </row>
    <row r="40" ht="13.5" customHeight="1">
      <c r="A40" s="27"/>
      <c r="B40" s="28"/>
      <c r="C40" s="467" t="s">
        <v>380</v>
      </c>
      <c r="D40" s="468">
        <f>D39</f>
        <v>47650000</v>
      </c>
      <c r="E40" s="469">
        <f t="shared" si="12"/>
        <v>0.6234855303</v>
      </c>
      <c r="F40" s="468">
        <f>F39</f>
        <v>33739400</v>
      </c>
      <c r="G40" s="470"/>
      <c r="H40" s="465">
        <f t="shared" si="13"/>
        <v>0.5861364864</v>
      </c>
      <c r="I40" s="471">
        <f>I39</f>
        <v>23010733.33</v>
      </c>
      <c r="J40" s="472"/>
      <c r="K40" s="465">
        <f t="shared" si="14"/>
        <v>0.3997531191</v>
      </c>
      <c r="L40" s="471">
        <f>L39</f>
        <v>15464000</v>
      </c>
      <c r="M40" s="472"/>
      <c r="N40" s="465">
        <f t="shared" si="15"/>
        <v>0.2686477716</v>
      </c>
      <c r="O40" s="471">
        <f>O39</f>
        <v>11099200</v>
      </c>
      <c r="P40" s="472"/>
      <c r="Q40" s="465">
        <f t="shared" si="16"/>
        <v>0.192820444</v>
      </c>
      <c r="R40" s="471">
        <f>R39</f>
        <v>8228000</v>
      </c>
      <c r="S40" s="451"/>
      <c r="T40" s="465">
        <f t="shared" si="17"/>
        <v>0.02728316957</v>
      </c>
      <c r="U40" s="38"/>
      <c r="V40" s="91"/>
      <c r="W40" s="91"/>
      <c r="X40" s="91"/>
      <c r="Y40" s="91"/>
      <c r="Z40" s="91"/>
      <c r="AA40" s="91"/>
      <c r="AB40" s="91"/>
      <c r="AC40" s="27"/>
      <c r="AD40" s="27"/>
    </row>
    <row r="41" ht="13.5" customHeight="1">
      <c r="A41" s="27"/>
      <c r="B41" s="28"/>
      <c r="C41" s="473" t="s">
        <v>381</v>
      </c>
      <c r="D41" s="474">
        <f>D40+D35</f>
        <v>76425189.82</v>
      </c>
      <c r="E41" s="475">
        <f t="shared" si="12"/>
        <v>1</v>
      </c>
      <c r="F41" s="474">
        <f>F40+F35</f>
        <v>57562360.96</v>
      </c>
      <c r="G41" s="476"/>
      <c r="H41" s="477">
        <f t="shared" si="13"/>
        <v>1</v>
      </c>
      <c r="I41" s="478">
        <f>I40+I35</f>
        <v>46938802.89</v>
      </c>
      <c r="J41" s="479"/>
      <c r="K41" s="477">
        <f t="shared" si="14"/>
        <v>0.815442628</v>
      </c>
      <c r="L41" s="478">
        <f>L40+L35</f>
        <v>82906380.54</v>
      </c>
      <c r="M41" s="479"/>
      <c r="N41" s="477">
        <f t="shared" si="15"/>
        <v>1.440288049</v>
      </c>
      <c r="O41" s="478">
        <f>O40+O35</f>
        <v>160820006.7</v>
      </c>
      <c r="P41" s="479"/>
      <c r="Q41" s="477">
        <f t="shared" si="16"/>
        <v>2.793839656</v>
      </c>
      <c r="R41" s="478">
        <f>R40+R35</f>
        <v>301577863.9</v>
      </c>
      <c r="S41" s="480"/>
      <c r="T41" s="477">
        <f t="shared" si="17"/>
        <v>1</v>
      </c>
      <c r="U41" s="38"/>
      <c r="V41" s="91"/>
      <c r="W41" s="91"/>
      <c r="X41" s="91"/>
      <c r="Y41" s="91"/>
      <c r="Z41" s="91"/>
      <c r="AA41" s="91"/>
      <c r="AB41" s="91"/>
      <c r="AC41" s="27"/>
      <c r="AD41" s="27"/>
    </row>
    <row r="42" ht="13.5" customHeight="1">
      <c r="A42" s="27"/>
      <c r="B42" s="28"/>
      <c r="C42" s="456"/>
      <c r="D42" s="457"/>
      <c r="E42" s="458"/>
      <c r="F42" s="457"/>
      <c r="G42" s="459"/>
      <c r="H42" s="458"/>
      <c r="I42" s="457"/>
      <c r="J42" s="459"/>
      <c r="K42" s="458"/>
      <c r="L42" s="457"/>
      <c r="M42" s="459"/>
      <c r="N42" s="458"/>
      <c r="O42" s="457"/>
      <c r="P42" s="459"/>
      <c r="Q42" s="458"/>
      <c r="R42" s="457"/>
      <c r="S42" s="460"/>
      <c r="T42" s="458"/>
      <c r="U42" s="38"/>
      <c r="V42" s="91"/>
      <c r="W42" s="91"/>
      <c r="X42" s="91"/>
      <c r="Y42" s="91"/>
      <c r="Z42" s="91"/>
      <c r="AA42" s="91"/>
      <c r="AB42" s="91"/>
      <c r="AC42" s="27"/>
      <c r="AD42" s="27"/>
    </row>
    <row r="43" ht="13.5" customHeight="1">
      <c r="A43" s="27"/>
      <c r="B43" s="28"/>
      <c r="C43" s="437"/>
      <c r="D43" s="461"/>
      <c r="E43" s="462"/>
      <c r="F43" s="461"/>
      <c r="G43" s="462"/>
      <c r="H43" s="462"/>
      <c r="I43" s="461"/>
      <c r="J43" s="462"/>
      <c r="K43" s="462"/>
      <c r="L43" s="461"/>
      <c r="M43" s="462"/>
      <c r="N43" s="462"/>
      <c r="O43" s="461"/>
      <c r="P43" s="462"/>
      <c r="Q43" s="462"/>
      <c r="R43" s="461"/>
      <c r="S43" s="460"/>
      <c r="T43" s="462"/>
      <c r="U43" s="38"/>
      <c r="V43" s="91"/>
      <c r="W43" s="91"/>
      <c r="X43" s="91"/>
      <c r="Y43" s="91"/>
      <c r="Z43" s="91"/>
      <c r="AA43" s="91"/>
      <c r="AB43" s="91"/>
      <c r="AC43" s="27"/>
      <c r="AD43" s="27"/>
    </row>
    <row r="44" ht="14.25" customHeight="1">
      <c r="A44" s="27"/>
      <c r="B44" s="28"/>
      <c r="C44" s="266"/>
      <c r="D44" s="481"/>
      <c r="E44" s="266"/>
      <c r="F44" s="481"/>
      <c r="G44" s="266"/>
      <c r="H44" s="266"/>
      <c r="I44" s="481"/>
      <c r="J44" s="266"/>
      <c r="K44" s="266"/>
      <c r="L44" s="481"/>
      <c r="M44" s="266"/>
      <c r="N44" s="266"/>
      <c r="O44" s="481"/>
      <c r="P44" s="266"/>
      <c r="Q44" s="266"/>
      <c r="R44" s="481"/>
      <c r="S44" s="266"/>
      <c r="T44" s="266"/>
      <c r="U44" s="38"/>
      <c r="V44" s="91"/>
      <c r="W44" s="91"/>
      <c r="X44" s="91"/>
      <c r="Y44" s="91"/>
      <c r="Z44" s="91"/>
      <c r="AA44" s="91"/>
      <c r="AB44" s="91"/>
      <c r="AC44" s="27"/>
      <c r="AD44" s="27"/>
    </row>
    <row r="45" ht="13.5" customHeight="1">
      <c r="A45" s="27"/>
      <c r="B45" s="28"/>
      <c r="C45" s="482" t="s">
        <v>382</v>
      </c>
      <c r="D45" s="483">
        <v>0.0</v>
      </c>
      <c r="E45" s="484">
        <f t="shared" ref="E45:E47" si="18">D45/$D$62</f>
        <v>0</v>
      </c>
      <c r="F45" s="485">
        <f>G45*F7/365</f>
        <v>13191780.82</v>
      </c>
      <c r="G45" s="358">
        <v>30.0</v>
      </c>
      <c r="H45" s="486">
        <f t="shared" ref="H45:H47" si="19">F45/$F$62</f>
        <v>0.2291737275</v>
      </c>
      <c r="I45" s="487">
        <f>J45*I7/365</f>
        <v>18468493.15</v>
      </c>
      <c r="J45" s="358">
        <v>30.0</v>
      </c>
      <c r="K45" s="486">
        <f t="shared" ref="K45:K47" si="20">I45/$F$62</f>
        <v>0.3208432184</v>
      </c>
      <c r="L45" s="487">
        <f>M45*L7/365</f>
        <v>26383561.64</v>
      </c>
      <c r="M45" s="358">
        <v>30.0</v>
      </c>
      <c r="N45" s="486">
        <f t="shared" ref="N45:N47" si="21">L45/$F$62</f>
        <v>0.4583474549</v>
      </c>
      <c r="O45" s="487">
        <f>P45*O7/365</f>
        <v>36936986.3</v>
      </c>
      <c r="P45" s="358">
        <v>30.0</v>
      </c>
      <c r="Q45" s="486">
        <f t="shared" ref="Q45:Q47" si="22">O45/$F$62</f>
        <v>0.6416864369</v>
      </c>
      <c r="R45" s="487">
        <f>S45*R7/365</f>
        <v>52767123.29</v>
      </c>
      <c r="S45" s="358">
        <v>30.0</v>
      </c>
      <c r="T45" s="486">
        <f t="shared" ref="T45:T47" si="23">R45/$R$62</f>
        <v>0.1749701474</v>
      </c>
      <c r="U45" s="38"/>
      <c r="V45" s="91"/>
      <c r="W45" s="91"/>
      <c r="X45" s="91"/>
      <c r="Y45" s="91"/>
      <c r="Z45" s="91"/>
      <c r="AA45" s="91"/>
      <c r="AB45" s="91"/>
      <c r="AC45" s="27"/>
      <c r="AD45" s="27"/>
    </row>
    <row r="46" ht="13.5" customHeight="1">
      <c r="A46" s="27"/>
      <c r="B46" s="28"/>
      <c r="C46" s="36" t="s">
        <v>383</v>
      </c>
      <c r="D46" s="488">
        <v>0.0</v>
      </c>
      <c r="E46" s="484">
        <f t="shared" si="18"/>
        <v>0</v>
      </c>
      <c r="F46" s="489">
        <v>0.0</v>
      </c>
      <c r="G46" s="490"/>
      <c r="H46" s="486">
        <f t="shared" si="19"/>
        <v>0</v>
      </c>
      <c r="I46" s="448">
        <v>0.0</v>
      </c>
      <c r="J46" s="490"/>
      <c r="K46" s="486">
        <f t="shared" si="20"/>
        <v>0</v>
      </c>
      <c r="L46" s="448">
        <v>0.0</v>
      </c>
      <c r="M46" s="490"/>
      <c r="N46" s="486">
        <f t="shared" si="21"/>
        <v>0</v>
      </c>
      <c r="O46" s="448">
        <v>0.0</v>
      </c>
      <c r="P46" s="490"/>
      <c r="Q46" s="486">
        <f t="shared" si="22"/>
        <v>0</v>
      </c>
      <c r="R46" s="448">
        <v>0.0</v>
      </c>
      <c r="S46" s="451"/>
      <c r="T46" s="486">
        <f t="shared" si="23"/>
        <v>0</v>
      </c>
      <c r="U46" s="38"/>
      <c r="V46" s="91"/>
      <c r="W46" s="91"/>
      <c r="X46" s="91"/>
      <c r="Y46" s="91"/>
      <c r="Z46" s="91"/>
      <c r="AA46" s="91"/>
      <c r="AB46" s="91"/>
      <c r="AC46" s="27"/>
      <c r="AD46" s="27"/>
    </row>
    <row r="47" ht="13.5" customHeight="1">
      <c r="A47" s="27"/>
      <c r="B47" s="28"/>
      <c r="C47" s="491" t="s">
        <v>298</v>
      </c>
      <c r="D47" s="478">
        <f>SUM(D45:D46)</f>
        <v>0</v>
      </c>
      <c r="E47" s="492">
        <f t="shared" si="18"/>
        <v>0</v>
      </c>
      <c r="F47" s="493">
        <f>SUM(F45:F46)</f>
        <v>13191780.82</v>
      </c>
      <c r="G47" s="494"/>
      <c r="H47" s="495">
        <f t="shared" si="19"/>
        <v>0.2291737275</v>
      </c>
      <c r="I47" s="478">
        <f>SUM(I45:I46)</f>
        <v>18468493.15</v>
      </c>
      <c r="J47" s="491"/>
      <c r="K47" s="495">
        <f t="shared" si="20"/>
        <v>0.3208432184</v>
      </c>
      <c r="L47" s="478">
        <f>SUM(L45:L46)</f>
        <v>26383561.64</v>
      </c>
      <c r="M47" s="491"/>
      <c r="N47" s="495">
        <f t="shared" si="21"/>
        <v>0.4583474549</v>
      </c>
      <c r="O47" s="478">
        <f>SUM(O45:O46)</f>
        <v>36936986.3</v>
      </c>
      <c r="P47" s="491"/>
      <c r="Q47" s="495">
        <f t="shared" si="22"/>
        <v>0.6416864369</v>
      </c>
      <c r="R47" s="478">
        <f>SUM(R45:R46)</f>
        <v>52767123.29</v>
      </c>
      <c r="S47" s="480"/>
      <c r="T47" s="495">
        <f t="shared" si="23"/>
        <v>0.1749701474</v>
      </c>
      <c r="U47" s="38"/>
      <c r="V47" s="91"/>
      <c r="W47" s="91"/>
      <c r="X47" s="91"/>
      <c r="Y47" s="91"/>
      <c r="Z47" s="91"/>
      <c r="AA47" s="91"/>
      <c r="AB47" s="91"/>
      <c r="AC47" s="27"/>
      <c r="AD47" s="27"/>
    </row>
    <row r="48" ht="13.5" customHeight="1">
      <c r="A48" s="27"/>
      <c r="B48" s="28"/>
      <c r="C48" s="459"/>
      <c r="D48" s="457"/>
      <c r="E48" s="496"/>
      <c r="F48" s="457"/>
      <c r="G48" s="459"/>
      <c r="H48" s="459"/>
      <c r="I48" s="457"/>
      <c r="J48" s="459"/>
      <c r="K48" s="459"/>
      <c r="L48" s="457"/>
      <c r="M48" s="459"/>
      <c r="N48" s="459"/>
      <c r="O48" s="457"/>
      <c r="P48" s="459"/>
      <c r="Q48" s="459"/>
      <c r="R48" s="457"/>
      <c r="S48" s="460"/>
      <c r="T48" s="459"/>
      <c r="U48" s="38"/>
      <c r="V48" s="91"/>
      <c r="W48" s="91"/>
      <c r="X48" s="91"/>
      <c r="Y48" s="91"/>
      <c r="Z48" s="91"/>
      <c r="AA48" s="91"/>
      <c r="AB48" s="91"/>
      <c r="AC48" s="27"/>
      <c r="AD48" s="27"/>
    </row>
    <row r="49" ht="13.5" customHeight="1">
      <c r="A49" s="27"/>
      <c r="B49" s="28"/>
      <c r="C49" s="463"/>
      <c r="D49" s="461"/>
      <c r="E49" s="497"/>
      <c r="F49" s="461"/>
      <c r="G49" s="463"/>
      <c r="H49" s="463"/>
      <c r="I49" s="461"/>
      <c r="J49" s="463"/>
      <c r="K49" s="463"/>
      <c r="L49" s="461"/>
      <c r="M49" s="463"/>
      <c r="N49" s="463"/>
      <c r="O49" s="461"/>
      <c r="P49" s="463"/>
      <c r="Q49" s="463"/>
      <c r="R49" s="461"/>
      <c r="S49" s="460"/>
      <c r="T49" s="463"/>
      <c r="U49" s="38"/>
      <c r="V49" s="91"/>
      <c r="W49" s="91"/>
      <c r="X49" s="91"/>
      <c r="Y49" s="91"/>
      <c r="Z49" s="91"/>
      <c r="AA49" s="91"/>
      <c r="AB49" s="91"/>
      <c r="AC49" s="27"/>
      <c r="AD49" s="27"/>
    </row>
    <row r="50" ht="13.5" customHeight="1">
      <c r="A50" s="27"/>
      <c r="B50" s="28"/>
      <c r="C50" s="266"/>
      <c r="D50" s="481"/>
      <c r="E50" s="497" t="s">
        <v>6</v>
      </c>
      <c r="F50" s="481"/>
      <c r="G50" s="266"/>
      <c r="H50" s="266"/>
      <c r="I50" s="481"/>
      <c r="J50" s="266"/>
      <c r="K50" s="266"/>
      <c r="L50" s="481"/>
      <c r="M50" s="266"/>
      <c r="N50" s="266"/>
      <c r="O50" s="481"/>
      <c r="P50" s="266"/>
      <c r="Q50" s="266"/>
      <c r="R50" s="481"/>
      <c r="S50" s="38"/>
      <c r="T50" s="266"/>
      <c r="U50" s="38"/>
      <c r="V50" s="91"/>
      <c r="W50" s="91"/>
      <c r="X50" s="91"/>
      <c r="Y50" s="91"/>
      <c r="Z50" s="91"/>
      <c r="AA50" s="91"/>
      <c r="AB50" s="91"/>
      <c r="AC50" s="27"/>
      <c r="AD50" s="27"/>
    </row>
    <row r="51" ht="13.5" customHeight="1">
      <c r="A51" s="27"/>
      <c r="B51" s="28"/>
      <c r="C51" s="498" t="s">
        <v>384</v>
      </c>
      <c r="D51" s="499">
        <f>'Cuadro de Usos y Fuentes'!F6</f>
        <v>30570075.93</v>
      </c>
      <c r="E51" s="500">
        <f t="shared" ref="E51:E54" si="24">D51/$D$62</f>
        <v>0.4</v>
      </c>
      <c r="F51" s="501">
        <f>+F74</f>
        <v>24456060.74</v>
      </c>
      <c r="G51" s="450"/>
      <c r="H51" s="465">
        <f t="shared" ref="H51:H54" si="25">F51/$F$62</f>
        <v>0.4248620163</v>
      </c>
      <c r="I51" s="446">
        <f>+I74</f>
        <v>18342045.56</v>
      </c>
      <c r="J51" s="466"/>
      <c r="K51" s="465">
        <f t="shared" ref="K51:K54" si="26">I51/$F$62</f>
        <v>0.3186465123</v>
      </c>
      <c r="L51" s="446">
        <f>+L74</f>
        <v>12228030.37</v>
      </c>
      <c r="M51" s="466"/>
      <c r="N51" s="465">
        <f t="shared" ref="N51:N54" si="27">L51/$F$62</f>
        <v>0.2124310082</v>
      </c>
      <c r="O51" s="446">
        <f>+O74</f>
        <v>6114015.185</v>
      </c>
      <c r="P51" s="466"/>
      <c r="Q51" s="465">
        <f t="shared" ref="Q51:Q54" si="28">O51/$F$62</f>
        <v>0.1062155041</v>
      </c>
      <c r="R51" s="446">
        <f>+R74</f>
        <v>-0.000000001862645149</v>
      </c>
      <c r="S51" s="451"/>
      <c r="T51" s="465">
        <f t="shared" ref="T51:T54" si="29">R51/$R$62</f>
        <v>0</v>
      </c>
      <c r="U51" s="38"/>
      <c r="V51" s="91"/>
      <c r="W51" s="91"/>
      <c r="X51" s="91"/>
      <c r="Y51" s="91"/>
      <c r="Z51" s="91"/>
      <c r="AA51" s="91"/>
      <c r="AB51" s="91"/>
      <c r="AC51" s="27"/>
      <c r="AD51" s="27"/>
    </row>
    <row r="52" ht="13.5" customHeight="1">
      <c r="A52" s="27"/>
      <c r="B52" s="28"/>
      <c r="C52" s="498" t="s">
        <v>385</v>
      </c>
      <c r="D52" s="499">
        <v>0.0</v>
      </c>
      <c r="E52" s="500">
        <f t="shared" si="24"/>
        <v>0</v>
      </c>
      <c r="F52" s="501">
        <v>0.0</v>
      </c>
      <c r="G52" s="450"/>
      <c r="H52" s="465">
        <f t="shared" si="25"/>
        <v>0</v>
      </c>
      <c r="I52" s="499"/>
      <c r="J52" s="466"/>
      <c r="K52" s="465">
        <f t="shared" si="26"/>
        <v>0</v>
      </c>
      <c r="L52" s="499"/>
      <c r="M52" s="466"/>
      <c r="N52" s="465">
        <f t="shared" si="27"/>
        <v>0</v>
      </c>
      <c r="O52" s="499"/>
      <c r="P52" s="466"/>
      <c r="Q52" s="465">
        <f t="shared" si="28"/>
        <v>0</v>
      </c>
      <c r="R52" s="499"/>
      <c r="S52" s="451"/>
      <c r="T52" s="465">
        <f t="shared" si="29"/>
        <v>0</v>
      </c>
      <c r="U52" s="38"/>
      <c r="V52" s="91"/>
      <c r="W52" s="91"/>
      <c r="X52" s="91"/>
      <c r="Y52" s="91"/>
      <c r="Z52" s="91"/>
      <c r="AA52" s="91"/>
      <c r="AB52" s="91"/>
      <c r="AC52" s="27"/>
      <c r="AD52" s="27"/>
    </row>
    <row r="53" ht="13.5" customHeight="1">
      <c r="A53" s="27"/>
      <c r="B53" s="28"/>
      <c r="C53" s="502" t="s">
        <v>386</v>
      </c>
      <c r="D53" s="503">
        <f>SUM(D51:D52)</f>
        <v>30570075.93</v>
      </c>
      <c r="E53" s="504">
        <f t="shared" si="24"/>
        <v>0.4</v>
      </c>
      <c r="F53" s="503">
        <f>SUM(F51:F52)</f>
        <v>24456060.74</v>
      </c>
      <c r="G53" s="502"/>
      <c r="H53" s="505">
        <f t="shared" si="25"/>
        <v>0.4248620163</v>
      </c>
      <c r="I53" s="503">
        <f>SUM(I51:I52)</f>
        <v>18342045.56</v>
      </c>
      <c r="J53" s="506"/>
      <c r="K53" s="505">
        <f t="shared" si="26"/>
        <v>0.3186465123</v>
      </c>
      <c r="L53" s="503">
        <f>SUM(L51:L52)</f>
        <v>12228030.37</v>
      </c>
      <c r="M53" s="506"/>
      <c r="N53" s="505">
        <f t="shared" si="27"/>
        <v>0.2124310082</v>
      </c>
      <c r="O53" s="503">
        <f>SUM(O51:O52)</f>
        <v>6114015.185</v>
      </c>
      <c r="P53" s="506"/>
      <c r="Q53" s="505">
        <f t="shared" si="28"/>
        <v>0.1062155041</v>
      </c>
      <c r="R53" s="503">
        <f>SUM(R51:R52)</f>
        <v>-0.000000001862645149</v>
      </c>
      <c r="S53" s="480"/>
      <c r="T53" s="505">
        <f t="shared" si="29"/>
        <v>0</v>
      </c>
      <c r="U53" s="38"/>
      <c r="V53" s="91"/>
      <c r="W53" s="91"/>
      <c r="X53" s="91"/>
      <c r="Y53" s="91"/>
      <c r="Z53" s="91"/>
      <c r="AA53" s="91"/>
      <c r="AB53" s="91"/>
      <c r="AC53" s="27"/>
      <c r="AD53" s="27"/>
    </row>
    <row r="54" ht="13.5" customHeight="1">
      <c r="A54" s="27"/>
      <c r="B54" s="28"/>
      <c r="C54" s="507" t="s">
        <v>387</v>
      </c>
      <c r="D54" s="508">
        <f>D53+D47</f>
        <v>30570075.93</v>
      </c>
      <c r="E54" s="509">
        <f t="shared" si="24"/>
        <v>0.4</v>
      </c>
      <c r="F54" s="510">
        <f>F53+F47</f>
        <v>37647841.56</v>
      </c>
      <c r="G54" s="511"/>
      <c r="H54" s="465">
        <f t="shared" si="25"/>
        <v>0.6540357438</v>
      </c>
      <c r="I54" s="508">
        <f>I53+I47</f>
        <v>36810538.71</v>
      </c>
      <c r="J54" s="512"/>
      <c r="K54" s="465">
        <f t="shared" si="26"/>
        <v>0.6394897307</v>
      </c>
      <c r="L54" s="508">
        <f>L53+L47</f>
        <v>38611592.01</v>
      </c>
      <c r="M54" s="512"/>
      <c r="N54" s="465">
        <f t="shared" si="27"/>
        <v>0.6707784631</v>
      </c>
      <c r="O54" s="508">
        <f>O53+O47</f>
        <v>43051001.49</v>
      </c>
      <c r="P54" s="512"/>
      <c r="Q54" s="465">
        <f t="shared" si="28"/>
        <v>0.747901941</v>
      </c>
      <c r="R54" s="508">
        <f>R53+R47</f>
        <v>52767123.29</v>
      </c>
      <c r="S54" s="451"/>
      <c r="T54" s="465">
        <f t="shared" si="29"/>
        <v>0.1749701474</v>
      </c>
      <c r="U54" s="38"/>
      <c r="V54" s="91"/>
      <c r="W54" s="91"/>
      <c r="X54" s="91"/>
      <c r="Y54" s="91"/>
      <c r="Z54" s="91"/>
      <c r="AA54" s="91"/>
      <c r="AB54" s="91"/>
      <c r="AC54" s="27"/>
      <c r="AD54" s="27"/>
    </row>
    <row r="55" ht="13.5" customHeight="1">
      <c r="A55" s="27"/>
      <c r="B55" s="28"/>
      <c r="C55" s="456"/>
      <c r="D55" s="457"/>
      <c r="E55" s="496"/>
      <c r="F55" s="457"/>
      <c r="G55" s="458"/>
      <c r="H55" s="458"/>
      <c r="I55" s="457"/>
      <c r="J55" s="458"/>
      <c r="K55" s="458"/>
      <c r="L55" s="457"/>
      <c r="M55" s="458"/>
      <c r="N55" s="458"/>
      <c r="O55" s="457"/>
      <c r="P55" s="458"/>
      <c r="Q55" s="458"/>
      <c r="R55" s="457"/>
      <c r="S55" s="460"/>
      <c r="T55" s="458"/>
      <c r="U55" s="38"/>
      <c r="V55" s="91"/>
      <c r="W55" s="91"/>
      <c r="X55" s="91"/>
      <c r="Y55" s="91"/>
      <c r="Z55" s="91"/>
      <c r="AA55" s="91"/>
      <c r="AB55" s="91"/>
      <c r="AC55" s="27"/>
      <c r="AD55" s="27"/>
    </row>
    <row r="56" ht="13.5" customHeight="1">
      <c r="A56" s="27"/>
      <c r="B56" s="28"/>
      <c r="C56" s="437"/>
      <c r="D56" s="461"/>
      <c r="E56" s="497"/>
      <c r="F56" s="461"/>
      <c r="G56" s="462"/>
      <c r="H56" s="462"/>
      <c r="I56" s="461"/>
      <c r="J56" s="462"/>
      <c r="K56" s="462"/>
      <c r="L56" s="461"/>
      <c r="M56" s="462"/>
      <c r="N56" s="462"/>
      <c r="O56" s="461"/>
      <c r="P56" s="462"/>
      <c r="Q56" s="462"/>
      <c r="R56" s="461"/>
      <c r="S56" s="460"/>
      <c r="T56" s="462"/>
      <c r="U56" s="38"/>
      <c r="V56" s="91"/>
      <c r="W56" s="91"/>
      <c r="X56" s="91"/>
      <c r="Y56" s="91"/>
      <c r="Z56" s="91"/>
      <c r="AA56" s="91"/>
      <c r="AB56" s="91"/>
      <c r="AC56" s="27"/>
      <c r="AD56" s="27"/>
    </row>
    <row r="57" ht="14.25" customHeight="1">
      <c r="A57" s="27"/>
      <c r="B57" s="28"/>
      <c r="C57" s="266"/>
      <c r="D57" s="481"/>
      <c r="E57" s="497" t="s">
        <v>6</v>
      </c>
      <c r="F57" s="481"/>
      <c r="G57" s="266"/>
      <c r="H57" s="266"/>
      <c r="I57" s="481"/>
      <c r="J57" s="266"/>
      <c r="K57" s="266"/>
      <c r="L57" s="481"/>
      <c r="M57" s="266"/>
      <c r="N57" s="266"/>
      <c r="O57" s="481"/>
      <c r="P57" s="266"/>
      <c r="Q57" s="266"/>
      <c r="R57" s="513"/>
      <c r="S57" s="38"/>
      <c r="T57" s="266"/>
      <c r="U57" s="38"/>
      <c r="V57" s="91"/>
      <c r="W57" s="91"/>
      <c r="X57" s="91"/>
      <c r="Y57" s="91"/>
      <c r="Z57" s="91"/>
      <c r="AA57" s="91"/>
      <c r="AB57" s="91"/>
      <c r="AC57" s="27"/>
      <c r="AD57" s="27"/>
    </row>
    <row r="58" ht="13.5" customHeight="1">
      <c r="A58" s="27"/>
      <c r="B58" s="28"/>
      <c r="C58" s="36" t="s">
        <v>388</v>
      </c>
      <c r="D58" s="499">
        <f>'Cuadro de Usos y Fuentes'!F7</f>
        <v>45855113.89</v>
      </c>
      <c r="E58" s="500">
        <f t="shared" ref="E58:E62" si="30">D58/$D$62</f>
        <v>0.6</v>
      </c>
      <c r="F58" s="501">
        <f>D58</f>
        <v>45855113.89</v>
      </c>
      <c r="G58" s="514"/>
      <c r="H58" s="515">
        <f t="shared" ref="H58:H62" si="31">F58/$F$62</f>
        <v>0.7966162806</v>
      </c>
      <c r="I58" s="446">
        <f>D58</f>
        <v>45855113.89</v>
      </c>
      <c r="J58" s="516"/>
      <c r="K58" s="515">
        <f t="shared" ref="K58:K62" si="32">I58/$F$62</f>
        <v>0.7966162806</v>
      </c>
      <c r="L58" s="446">
        <f>D58</f>
        <v>45855113.89</v>
      </c>
      <c r="M58" s="517"/>
      <c r="N58" s="515">
        <f t="shared" ref="N58:N62" si="33">L58/$F$62</f>
        <v>0.7966162806</v>
      </c>
      <c r="O58" s="446">
        <f>D58</f>
        <v>45855113.89</v>
      </c>
      <c r="P58" s="516"/>
      <c r="Q58" s="515">
        <f t="shared" ref="Q58:Q62" si="34">O58/$F$62</f>
        <v>0.7966162806</v>
      </c>
      <c r="R58" s="518">
        <f>D58</f>
        <v>45855113.89</v>
      </c>
      <c r="S58" s="451"/>
      <c r="T58" s="500">
        <f t="shared" ref="T58:T62" si="35">R58/$R$62</f>
        <v>0.1520506621</v>
      </c>
      <c r="U58" s="38"/>
      <c r="V58" s="91"/>
      <c r="W58" s="91"/>
      <c r="X58" s="91"/>
      <c r="Y58" s="91"/>
      <c r="Z58" s="91"/>
      <c r="AA58" s="91"/>
      <c r="AB58" s="91"/>
      <c r="AC58" s="27"/>
      <c r="AD58" s="27"/>
    </row>
    <row r="59" ht="13.5" customHeight="1">
      <c r="A59" s="27"/>
      <c r="B59" s="28"/>
      <c r="C59" s="36" t="s">
        <v>389</v>
      </c>
      <c r="D59" s="499">
        <v>0.0</v>
      </c>
      <c r="E59" s="500">
        <f t="shared" si="30"/>
        <v>0</v>
      </c>
      <c r="F59" s="501">
        <f>-F67</f>
        <v>13968012.42</v>
      </c>
      <c r="G59" s="514"/>
      <c r="H59" s="515">
        <f t="shared" si="31"/>
        <v>0.2426587824</v>
      </c>
      <c r="I59" s="519">
        <f>+F60-I67</f>
        <v>-42160322.34</v>
      </c>
      <c r="J59" s="520"/>
      <c r="K59" s="515">
        <f t="shared" si="32"/>
        <v>-0.7324286502</v>
      </c>
      <c r="L59" s="446">
        <f>+I59+I60-L67</f>
        <v>-54124208.96</v>
      </c>
      <c r="M59" s="520"/>
      <c r="N59" s="515">
        <f t="shared" si="33"/>
        <v>-0.9402708308</v>
      </c>
      <c r="O59" s="446">
        <f>+L59+L60-O67</f>
        <v>-41123365.13</v>
      </c>
      <c r="P59" s="520"/>
      <c r="Q59" s="515">
        <f t="shared" si="34"/>
        <v>-0.7144141492</v>
      </c>
      <c r="R59" s="518">
        <f>+O59+O60-R67</f>
        <v>1352956.898</v>
      </c>
      <c r="S59" s="451"/>
      <c r="T59" s="500">
        <f t="shared" si="35"/>
        <v>0.004486260633</v>
      </c>
      <c r="U59" s="38"/>
      <c r="V59" s="91"/>
      <c r="W59" s="91"/>
      <c r="X59" s="91"/>
      <c r="Y59" s="91"/>
      <c r="Z59" s="91"/>
      <c r="AA59" s="91"/>
      <c r="AB59" s="91"/>
      <c r="AC59" s="27"/>
      <c r="AD59" s="27"/>
    </row>
    <row r="60" ht="13.5" customHeight="1">
      <c r="A60" s="27"/>
      <c r="B60" s="28"/>
      <c r="C60" s="36" t="s">
        <v>390</v>
      </c>
      <c r="D60" s="499">
        <v>0.0</v>
      </c>
      <c r="E60" s="500">
        <f t="shared" si="30"/>
        <v>0</v>
      </c>
      <c r="F60" s="501">
        <f>+F25</f>
        <v>-39908606.92</v>
      </c>
      <c r="G60" s="514"/>
      <c r="H60" s="515">
        <f t="shared" si="31"/>
        <v>-0.6933108068</v>
      </c>
      <c r="I60" s="519">
        <f>+I25</f>
        <v>6433472.636</v>
      </c>
      <c r="J60" s="521"/>
      <c r="K60" s="515">
        <f t="shared" si="32"/>
        <v>0.1117652669</v>
      </c>
      <c r="L60" s="446">
        <f>+L25</f>
        <v>52563883.59</v>
      </c>
      <c r="M60" s="522"/>
      <c r="N60" s="515">
        <f t="shared" si="33"/>
        <v>0.9131641357</v>
      </c>
      <c r="O60" s="446">
        <f>+O25</f>
        <v>113037256.5</v>
      </c>
      <c r="P60" s="521"/>
      <c r="Q60" s="515">
        <f t="shared" si="34"/>
        <v>1.963735583</v>
      </c>
      <c r="R60" s="518">
        <f>+R25</f>
        <v>201602669.8</v>
      </c>
      <c r="S60" s="451"/>
      <c r="T60" s="500">
        <f t="shared" si="35"/>
        <v>0.6684929299</v>
      </c>
      <c r="U60" s="38"/>
      <c r="V60" s="91"/>
      <c r="W60" s="91"/>
      <c r="X60" s="91"/>
      <c r="Y60" s="91"/>
      <c r="Z60" s="91"/>
      <c r="AA60" s="91"/>
      <c r="AB60" s="91"/>
      <c r="AC60" s="27"/>
      <c r="AD60" s="27"/>
    </row>
    <row r="61" ht="13.5" customHeight="1">
      <c r="A61" s="27"/>
      <c r="B61" s="28"/>
      <c r="C61" s="502" t="s">
        <v>391</v>
      </c>
      <c r="D61" s="503">
        <f>SUM(D58:D60)</f>
        <v>45855113.89</v>
      </c>
      <c r="E61" s="504">
        <f t="shared" si="30"/>
        <v>0.6</v>
      </c>
      <c r="F61" s="503">
        <f>SUM(F58:F60)</f>
        <v>19914519.39</v>
      </c>
      <c r="G61" s="502"/>
      <c r="H61" s="523">
        <f t="shared" si="31"/>
        <v>0.3459642562</v>
      </c>
      <c r="I61" s="503">
        <f>SUM(I58:I60)</f>
        <v>10128264.19</v>
      </c>
      <c r="J61" s="506"/>
      <c r="K61" s="523">
        <f t="shared" si="32"/>
        <v>0.1759528973</v>
      </c>
      <c r="L61" s="503">
        <f>SUM(L58:L60)</f>
        <v>44294788.52</v>
      </c>
      <c r="M61" s="506"/>
      <c r="N61" s="523">
        <f t="shared" si="33"/>
        <v>0.7695095855</v>
      </c>
      <c r="O61" s="503">
        <f>SUM(O58:O60)</f>
        <v>117769005.2</v>
      </c>
      <c r="P61" s="506"/>
      <c r="Q61" s="523">
        <f t="shared" si="34"/>
        <v>2.045937715</v>
      </c>
      <c r="R61" s="524">
        <f>SUM(R58:R60)</f>
        <v>248810740.6</v>
      </c>
      <c r="S61" s="480"/>
      <c r="T61" s="504">
        <f t="shared" si="35"/>
        <v>0.8250298526</v>
      </c>
      <c r="U61" s="38"/>
      <c r="V61" s="91"/>
      <c r="W61" s="91"/>
      <c r="X61" s="91"/>
      <c r="Y61" s="91"/>
      <c r="Z61" s="91"/>
      <c r="AA61" s="91"/>
      <c r="AB61" s="91"/>
      <c r="AC61" s="27"/>
      <c r="AD61" s="27"/>
    </row>
    <row r="62" ht="13.5" customHeight="1">
      <c r="A62" s="27"/>
      <c r="B62" s="28"/>
      <c r="C62" s="507" t="s">
        <v>392</v>
      </c>
      <c r="D62" s="508">
        <f>D61+D54</f>
        <v>76425189.82</v>
      </c>
      <c r="E62" s="509">
        <f t="shared" si="30"/>
        <v>1</v>
      </c>
      <c r="F62" s="508">
        <f>F61+F54</f>
        <v>57562360.96</v>
      </c>
      <c r="G62" s="511"/>
      <c r="H62" s="515">
        <f t="shared" si="31"/>
        <v>1</v>
      </c>
      <c r="I62" s="508">
        <f>I61+I54</f>
        <v>46938802.89</v>
      </c>
      <c r="J62" s="512"/>
      <c r="K62" s="515">
        <f t="shared" si="32"/>
        <v>0.815442628</v>
      </c>
      <c r="L62" s="508">
        <f>L61+L54</f>
        <v>82906380.54</v>
      </c>
      <c r="M62" s="512"/>
      <c r="N62" s="515">
        <f t="shared" si="33"/>
        <v>1.440288049</v>
      </c>
      <c r="O62" s="508">
        <f>O61+O54</f>
        <v>160820006.7</v>
      </c>
      <c r="P62" s="512"/>
      <c r="Q62" s="515">
        <f t="shared" si="34"/>
        <v>2.793839656</v>
      </c>
      <c r="R62" s="525">
        <f>R61+R54</f>
        <v>301577863.9</v>
      </c>
      <c r="S62" s="451"/>
      <c r="T62" s="500">
        <f t="shared" si="35"/>
        <v>1</v>
      </c>
      <c r="U62" s="38"/>
      <c r="V62" s="91"/>
      <c r="W62" s="91"/>
      <c r="X62" s="91"/>
      <c r="Y62" s="91"/>
      <c r="Z62" s="91"/>
      <c r="AA62" s="91"/>
      <c r="AB62" s="91"/>
      <c r="AC62" s="27"/>
      <c r="AD62" s="27"/>
    </row>
    <row r="63" ht="13.5" customHeight="1">
      <c r="A63" s="27"/>
      <c r="B63" s="28"/>
      <c r="C63" s="456"/>
      <c r="D63" s="526"/>
      <c r="E63" s="496"/>
      <c r="F63" s="457"/>
      <c r="G63" s="458"/>
      <c r="H63" s="458"/>
      <c r="I63" s="457"/>
      <c r="J63" s="458"/>
      <c r="K63" s="458"/>
      <c r="L63" s="457"/>
      <c r="M63" s="458"/>
      <c r="N63" s="458"/>
      <c r="O63" s="457"/>
      <c r="P63" s="458"/>
      <c r="Q63" s="458"/>
      <c r="R63" s="527"/>
      <c r="S63" s="460"/>
      <c r="T63" s="460"/>
      <c r="U63" s="38"/>
      <c r="V63" s="91"/>
      <c r="W63" s="91"/>
      <c r="X63" s="91"/>
      <c r="Y63" s="91"/>
      <c r="Z63" s="91"/>
      <c r="AA63" s="91"/>
      <c r="AB63" s="91"/>
      <c r="AC63" s="27"/>
      <c r="AD63" s="27"/>
    </row>
    <row r="64" ht="13.5" customHeight="1">
      <c r="A64" s="27"/>
      <c r="B64" s="28"/>
      <c r="C64" s="437"/>
      <c r="D64" s="528"/>
      <c r="E64" s="497"/>
      <c r="F64" s="461"/>
      <c r="G64" s="462"/>
      <c r="H64" s="462"/>
      <c r="I64" s="461"/>
      <c r="J64" s="462"/>
      <c r="K64" s="462"/>
      <c r="L64" s="461"/>
      <c r="M64" s="462"/>
      <c r="N64" s="462"/>
      <c r="O64" s="461"/>
      <c r="P64" s="462"/>
      <c r="Q64" s="462"/>
      <c r="R64" s="529"/>
      <c r="S64" s="460"/>
      <c r="T64" s="460"/>
      <c r="U64" s="38"/>
      <c r="V64" s="91"/>
      <c r="W64" s="91"/>
      <c r="X64" s="91"/>
      <c r="Y64" s="91"/>
      <c r="Z64" s="91"/>
      <c r="AA64" s="91"/>
      <c r="AB64" s="91"/>
      <c r="AC64" s="27"/>
      <c r="AD64" s="27"/>
    </row>
    <row r="65" ht="13.5" customHeight="1">
      <c r="A65" s="27"/>
      <c r="B65" s="28"/>
      <c r="C65" s="266"/>
      <c r="D65" s="266"/>
      <c r="E65" s="530"/>
      <c r="F65" s="481"/>
      <c r="G65" s="266"/>
      <c r="H65" s="266"/>
      <c r="I65" s="481"/>
      <c r="J65" s="266"/>
      <c r="K65" s="266"/>
      <c r="L65" s="481"/>
      <c r="M65" s="266"/>
      <c r="N65" s="266"/>
      <c r="O65" s="481"/>
      <c r="P65" s="266"/>
      <c r="Q65" s="266"/>
      <c r="R65" s="513"/>
      <c r="S65" s="38"/>
      <c r="T65" s="460"/>
      <c r="U65" s="38"/>
      <c r="V65" s="91"/>
      <c r="W65" s="91"/>
      <c r="X65" s="91"/>
      <c r="Y65" s="91"/>
      <c r="Z65" s="91"/>
      <c r="AA65" s="91"/>
      <c r="AB65" s="91"/>
      <c r="AC65" s="27"/>
      <c r="AD65" s="27"/>
    </row>
    <row r="66" ht="13.5" customHeight="1">
      <c r="A66" s="27"/>
      <c r="B66" s="28"/>
      <c r="C66" s="498" t="s">
        <v>393</v>
      </c>
      <c r="D66" s="531">
        <f>D41-D62</f>
        <v>0</v>
      </c>
      <c r="E66" s="521"/>
      <c r="F66" s="499">
        <f>F41-(F54+F61)</f>
        <v>0</v>
      </c>
      <c r="G66" s="514"/>
      <c r="H66" s="514"/>
      <c r="I66" s="519">
        <f>I41-(I54+I61)</f>
        <v>0</v>
      </c>
      <c r="J66" s="521"/>
      <c r="K66" s="521"/>
      <c r="L66" s="446">
        <f>L41-(L54+L61)</f>
        <v>0</v>
      </c>
      <c r="M66" s="521"/>
      <c r="N66" s="521"/>
      <c r="O66" s="446">
        <f>O41-(O54+O61)</f>
        <v>0</v>
      </c>
      <c r="P66" s="521"/>
      <c r="Q66" s="521"/>
      <c r="R66" s="518">
        <f>R41-(R54+R61)</f>
        <v>0.00000005960464478</v>
      </c>
      <c r="S66" s="532"/>
      <c r="T66" s="460"/>
      <c r="U66" s="38"/>
      <c r="V66" s="91"/>
      <c r="W66" s="91"/>
      <c r="X66" s="91"/>
      <c r="Y66" s="91"/>
      <c r="Z66" s="91"/>
      <c r="AA66" s="91"/>
      <c r="AB66" s="91"/>
      <c r="AC66" s="27"/>
      <c r="AD66" s="27"/>
    </row>
    <row r="67" ht="13.5" customHeight="1">
      <c r="A67" s="27"/>
      <c r="B67" s="28"/>
      <c r="C67" s="514" t="s">
        <v>394</v>
      </c>
      <c r="D67" s="37">
        <f>'Cuadro de Usos y Fuentes'!D14</f>
        <v>0.35</v>
      </c>
      <c r="E67" s="521" t="s">
        <v>395</v>
      </c>
      <c r="F67" s="499">
        <f>+F60*$D$67</f>
        <v>-13968012.42</v>
      </c>
      <c r="G67" s="514"/>
      <c r="H67" s="514" t="s">
        <v>395</v>
      </c>
      <c r="I67" s="519">
        <f>+I60*$D$67</f>
        <v>2251715.423</v>
      </c>
      <c r="J67" s="521"/>
      <c r="K67" s="521" t="s">
        <v>395</v>
      </c>
      <c r="L67" s="446">
        <f>+L60*$D$67</f>
        <v>18397359.26</v>
      </c>
      <c r="M67" s="521"/>
      <c r="N67" s="521" t="s">
        <v>395</v>
      </c>
      <c r="O67" s="446">
        <f>+O60*$D$67</f>
        <v>39563039.76</v>
      </c>
      <c r="P67" s="521"/>
      <c r="Q67" s="521" t="s">
        <v>395</v>
      </c>
      <c r="R67" s="518">
        <f>+R60*$D$67</f>
        <v>70560934.43</v>
      </c>
      <c r="S67" s="532"/>
      <c r="T67" s="460"/>
      <c r="U67" s="38"/>
      <c r="V67" s="91"/>
      <c r="W67" s="91"/>
      <c r="X67" s="91"/>
      <c r="Y67" s="91"/>
      <c r="Z67" s="91"/>
      <c r="AA67" s="91"/>
      <c r="AB67" s="91"/>
      <c r="AC67" s="27"/>
      <c r="AD67" s="27"/>
    </row>
    <row r="68" ht="13.5" customHeight="1">
      <c r="A68" s="27"/>
      <c r="B68" s="28"/>
      <c r="C68" s="498" t="s">
        <v>396</v>
      </c>
      <c r="D68" s="533">
        <f>'Cuadro de Usos y Fuentes'!D12</f>
        <v>0.26</v>
      </c>
      <c r="E68" s="534"/>
      <c r="F68" s="535"/>
      <c r="G68" s="38"/>
      <c r="H68" s="38"/>
      <c r="I68" s="535"/>
      <c r="J68" s="536"/>
      <c r="K68" s="536"/>
      <c r="L68" s="537"/>
      <c r="M68" s="536"/>
      <c r="N68" s="536"/>
      <c r="O68" s="537"/>
      <c r="P68" s="536"/>
      <c r="Q68" s="536"/>
      <c r="R68" s="538"/>
      <c r="S68" s="460"/>
      <c r="T68" s="460"/>
      <c r="U68" s="38"/>
      <c r="V68" s="91"/>
      <c r="W68" s="91"/>
      <c r="X68" s="91"/>
      <c r="Y68" s="91"/>
      <c r="Z68" s="91"/>
      <c r="AA68" s="91"/>
      <c r="AB68" s="91"/>
      <c r="AC68" s="27"/>
      <c r="AD68" s="27"/>
    </row>
    <row r="69" ht="13.5" customHeight="1">
      <c r="A69" s="27"/>
      <c r="B69" s="28"/>
      <c r="C69" s="536"/>
      <c r="D69" s="538"/>
      <c r="E69" s="38"/>
      <c r="F69" s="539"/>
      <c r="G69" s="38"/>
      <c r="H69" s="38"/>
      <c r="I69" s="539"/>
      <c r="J69" s="38"/>
      <c r="K69" s="38"/>
      <c r="L69" s="540"/>
      <c r="M69" s="38"/>
      <c r="N69" s="38"/>
      <c r="O69" s="540"/>
      <c r="P69" s="38"/>
      <c r="Q69" s="38"/>
      <c r="R69" s="382"/>
      <c r="S69" s="460"/>
      <c r="T69" s="460"/>
      <c r="U69" s="38"/>
      <c r="V69" s="91"/>
      <c r="W69" s="91"/>
      <c r="X69" s="91"/>
      <c r="Y69" s="91"/>
      <c r="Z69" s="91"/>
      <c r="AA69" s="91"/>
      <c r="AB69" s="91"/>
      <c r="AC69" s="27"/>
      <c r="AD69" s="27"/>
    </row>
    <row r="70" ht="13.5" customHeight="1">
      <c r="A70" s="27"/>
      <c r="B70" s="28"/>
      <c r="C70" s="38"/>
      <c r="D70" s="382"/>
      <c r="E70" s="38"/>
      <c r="F70" s="539"/>
      <c r="G70" s="38"/>
      <c r="H70" s="38"/>
      <c r="I70" s="539"/>
      <c r="J70" s="38"/>
      <c r="K70" s="38"/>
      <c r="L70" s="540"/>
      <c r="M70" s="38"/>
      <c r="N70" s="38"/>
      <c r="O70" s="540"/>
      <c r="P70" s="38"/>
      <c r="Q70" s="38"/>
      <c r="R70" s="382"/>
      <c r="S70" s="460"/>
      <c r="T70" s="460"/>
      <c r="U70" s="38"/>
      <c r="V70" s="91"/>
      <c r="W70" s="91"/>
      <c r="X70" s="91"/>
      <c r="Y70" s="91"/>
      <c r="Z70" s="91"/>
      <c r="AA70" s="91"/>
      <c r="AB70" s="91"/>
      <c r="AC70" s="27"/>
      <c r="AD70" s="27"/>
    </row>
    <row r="71" ht="13.5" customHeight="1">
      <c r="A71" s="27"/>
      <c r="B71" s="28"/>
      <c r="C71" s="266"/>
      <c r="D71" s="266"/>
      <c r="E71" s="541"/>
      <c r="F71" s="539"/>
      <c r="G71" s="38"/>
      <c r="H71" s="38"/>
      <c r="I71" s="539"/>
      <c r="J71" s="38"/>
      <c r="K71" s="38"/>
      <c r="L71" s="540"/>
      <c r="M71" s="38"/>
      <c r="N71" s="38"/>
      <c r="O71" s="540"/>
      <c r="P71" s="38"/>
      <c r="Q71" s="38"/>
      <c r="R71" s="382"/>
      <c r="S71" s="38"/>
      <c r="T71" s="460"/>
      <c r="U71" s="38"/>
      <c r="V71" s="91"/>
      <c r="W71" s="91"/>
      <c r="X71" s="91"/>
      <c r="Y71" s="91"/>
      <c r="Z71" s="91"/>
      <c r="AA71" s="91"/>
      <c r="AB71" s="91"/>
      <c r="AC71" s="27"/>
      <c r="AD71" s="27"/>
    </row>
    <row r="72" ht="13.5" customHeight="1">
      <c r="A72" s="27"/>
      <c r="B72" s="28"/>
      <c r="C72" s="36" t="s">
        <v>397</v>
      </c>
      <c r="D72" s="542">
        <f>+D51</f>
        <v>30570075.93</v>
      </c>
      <c r="E72" s="543"/>
      <c r="F72" s="481"/>
      <c r="G72" s="266"/>
      <c r="H72" s="266"/>
      <c r="I72" s="481"/>
      <c r="J72" s="266"/>
      <c r="K72" s="266"/>
      <c r="L72" s="513"/>
      <c r="M72" s="266"/>
      <c r="N72" s="266"/>
      <c r="O72" s="513"/>
      <c r="P72" s="266"/>
      <c r="Q72" s="266"/>
      <c r="R72" s="544"/>
      <c r="S72" s="460"/>
      <c r="T72" s="460"/>
      <c r="U72" s="38"/>
      <c r="V72" s="91"/>
      <c r="W72" s="91"/>
      <c r="X72" s="91"/>
      <c r="Y72" s="91"/>
      <c r="Z72" s="91"/>
      <c r="AA72" s="91"/>
      <c r="AB72" s="91"/>
      <c r="AC72" s="27"/>
      <c r="AD72" s="27"/>
    </row>
    <row r="73" ht="13.5" customHeight="1">
      <c r="A73" s="27"/>
      <c r="B73" s="28"/>
      <c r="C73" s="36" t="s">
        <v>398</v>
      </c>
      <c r="D73" s="190"/>
      <c r="E73" s="191"/>
      <c r="F73" s="501">
        <f>D72/5</f>
        <v>6114015.185</v>
      </c>
      <c r="G73" s="545"/>
      <c r="H73" s="545"/>
      <c r="I73" s="501">
        <f>D72/5</f>
        <v>6114015.185</v>
      </c>
      <c r="J73" s="545"/>
      <c r="K73" s="545"/>
      <c r="L73" s="501">
        <f>D72/5</f>
        <v>6114015.185</v>
      </c>
      <c r="M73" s="545"/>
      <c r="N73" s="545"/>
      <c r="O73" s="501">
        <f>D72/5</f>
        <v>6114015.185</v>
      </c>
      <c r="P73" s="545"/>
      <c r="Q73" s="545"/>
      <c r="R73" s="546">
        <f>D72/5</f>
        <v>6114015.185</v>
      </c>
      <c r="S73" s="460"/>
      <c r="T73" s="460"/>
      <c r="U73" s="38"/>
      <c r="V73" s="91"/>
      <c r="W73" s="91"/>
      <c r="X73" s="91"/>
      <c r="Y73" s="91"/>
      <c r="Z73" s="91"/>
      <c r="AA73" s="91"/>
      <c r="AB73" s="91"/>
      <c r="AC73" s="27"/>
      <c r="AD73" s="27"/>
    </row>
    <row r="74" ht="13.5" customHeight="1">
      <c r="A74" s="27"/>
      <c r="B74" s="28"/>
      <c r="C74" s="36" t="s">
        <v>399</v>
      </c>
      <c r="D74" s="190"/>
      <c r="E74" s="191"/>
      <c r="F74" s="501">
        <f>D72-F73</f>
        <v>24456060.74</v>
      </c>
      <c r="G74" s="545"/>
      <c r="H74" s="545"/>
      <c r="I74" s="501">
        <f>F74-I73</f>
        <v>18342045.56</v>
      </c>
      <c r="J74" s="545"/>
      <c r="K74" s="545"/>
      <c r="L74" s="501">
        <f>I74-L73</f>
        <v>12228030.37</v>
      </c>
      <c r="M74" s="545"/>
      <c r="N74" s="545"/>
      <c r="O74" s="501">
        <f>L74-O73</f>
        <v>6114015.185</v>
      </c>
      <c r="P74" s="545"/>
      <c r="Q74" s="545"/>
      <c r="R74" s="546">
        <f>O74-R73</f>
        <v>-0.000000001862645149</v>
      </c>
      <c r="S74" s="460"/>
      <c r="T74" s="460"/>
      <c r="U74" s="38"/>
      <c r="V74" s="91"/>
      <c r="W74" s="91"/>
      <c r="X74" s="91"/>
      <c r="Y74" s="91"/>
      <c r="Z74" s="91"/>
      <c r="AA74" s="91"/>
      <c r="AB74" s="91"/>
      <c r="AC74" s="27"/>
      <c r="AD74" s="27"/>
    </row>
    <row r="75" ht="13.5" customHeight="1">
      <c r="A75" s="27"/>
      <c r="B75" s="28"/>
      <c r="C75" s="36" t="s">
        <v>367</v>
      </c>
      <c r="D75" s="260"/>
      <c r="E75" s="545"/>
      <c r="F75" s="501">
        <f>D72*D68</f>
        <v>7948219.741</v>
      </c>
      <c r="G75" s="545"/>
      <c r="H75" s="545"/>
      <c r="I75" s="501">
        <f>F74*D68</f>
        <v>6358575.793</v>
      </c>
      <c r="J75" s="545"/>
      <c r="K75" s="545"/>
      <c r="L75" s="501">
        <f>I74*D68</f>
        <v>4768931.845</v>
      </c>
      <c r="M75" s="545"/>
      <c r="N75" s="545"/>
      <c r="O75" s="501">
        <f>L74*D68</f>
        <v>3179287.896</v>
      </c>
      <c r="P75" s="545"/>
      <c r="Q75" s="545"/>
      <c r="R75" s="546">
        <f>O74*D68</f>
        <v>1589643.948</v>
      </c>
      <c r="S75" s="460"/>
      <c r="T75" s="460"/>
      <c r="U75" s="38"/>
      <c r="V75" s="91"/>
      <c r="W75" s="91"/>
      <c r="X75" s="91"/>
      <c r="Y75" s="91"/>
      <c r="Z75" s="91"/>
      <c r="AA75" s="91"/>
      <c r="AB75" s="91"/>
      <c r="AC75" s="27"/>
      <c r="AD75" s="27"/>
    </row>
    <row r="76" ht="13.5" customHeight="1">
      <c r="A76" s="27"/>
      <c r="B76" s="28"/>
      <c r="C76" s="536"/>
      <c r="D76" s="547"/>
      <c r="E76" s="547"/>
      <c r="F76" s="535"/>
      <c r="G76" s="547"/>
      <c r="H76" s="547"/>
      <c r="I76" s="535"/>
      <c r="J76" s="547"/>
      <c r="K76" s="547"/>
      <c r="L76" s="535"/>
      <c r="M76" s="547"/>
      <c r="N76" s="547"/>
      <c r="O76" s="548"/>
      <c r="P76" s="547"/>
      <c r="Q76" s="547"/>
      <c r="R76" s="548"/>
      <c r="S76" s="460"/>
      <c r="T76" s="460"/>
      <c r="U76" s="38"/>
      <c r="V76" s="91"/>
      <c r="W76" s="91"/>
      <c r="X76" s="91"/>
      <c r="Y76" s="91"/>
      <c r="Z76" s="91"/>
      <c r="AA76" s="91"/>
      <c r="AB76" s="91"/>
      <c r="AC76" s="27"/>
      <c r="AD76" s="27"/>
    </row>
    <row r="77" ht="13.5" customHeight="1">
      <c r="A77" s="27"/>
      <c r="B77" s="28"/>
      <c r="C77" s="38"/>
      <c r="D77" s="549"/>
      <c r="E77" s="549"/>
      <c r="F77" s="539"/>
      <c r="G77" s="550"/>
      <c r="H77" s="549"/>
      <c r="I77" s="539"/>
      <c r="J77" s="549"/>
      <c r="K77" s="549"/>
      <c r="L77" s="539"/>
      <c r="M77" s="549"/>
      <c r="N77" s="549"/>
      <c r="O77" s="551"/>
      <c r="P77" s="549"/>
      <c r="Q77" s="549"/>
      <c r="R77" s="551"/>
      <c r="S77" s="460"/>
      <c r="T77" s="460"/>
      <c r="U77" s="38"/>
      <c r="V77" s="91"/>
      <c r="W77" s="91"/>
      <c r="X77" s="91"/>
      <c r="Y77" s="91"/>
      <c r="Z77" s="91"/>
      <c r="AA77" s="91"/>
      <c r="AB77" s="91"/>
      <c r="AC77" s="27"/>
      <c r="AD77" s="27"/>
    </row>
    <row r="78" ht="13.5" customHeight="1">
      <c r="A78" s="27"/>
      <c r="B78" s="28"/>
      <c r="C78" s="38"/>
      <c r="D78" s="549"/>
      <c r="E78" s="549"/>
      <c r="F78" s="539"/>
      <c r="G78" s="549"/>
      <c r="H78" s="549"/>
      <c r="I78" s="539"/>
      <c r="J78" s="549"/>
      <c r="K78" s="549"/>
      <c r="L78" s="539"/>
      <c r="M78" s="549"/>
      <c r="N78" s="549"/>
      <c r="O78" s="551"/>
      <c r="P78" s="549"/>
      <c r="Q78" s="549"/>
      <c r="R78" s="551"/>
      <c r="S78" s="549"/>
      <c r="T78" s="549"/>
      <c r="U78" s="38"/>
      <c r="V78" s="91"/>
      <c r="W78" s="91"/>
      <c r="X78" s="91"/>
      <c r="Y78" s="91"/>
      <c r="Z78" s="91"/>
      <c r="AA78" s="91"/>
      <c r="AB78" s="91"/>
      <c r="AC78" s="27"/>
      <c r="AD78" s="27"/>
    </row>
    <row r="79" ht="15.75" customHeight="1">
      <c r="A79" s="27"/>
      <c r="B79" s="28"/>
      <c r="C79" s="167" t="s">
        <v>400</v>
      </c>
      <c r="D79" s="38"/>
      <c r="E79" s="38"/>
      <c r="F79" s="539"/>
      <c r="G79" s="552"/>
      <c r="H79" s="552"/>
      <c r="I79" s="539"/>
      <c r="J79" s="552"/>
      <c r="K79" s="552"/>
      <c r="L79" s="539"/>
      <c r="M79" s="552"/>
      <c r="N79" s="552"/>
      <c r="O79" s="551"/>
      <c r="P79" s="552"/>
      <c r="Q79" s="552"/>
      <c r="R79" s="551"/>
      <c r="S79" s="552"/>
      <c r="T79" s="552"/>
      <c r="U79" s="38"/>
      <c r="V79" s="91"/>
      <c r="W79" s="91"/>
      <c r="X79" s="91"/>
      <c r="Y79" s="91"/>
      <c r="Z79" s="91"/>
      <c r="AA79" s="91"/>
      <c r="AB79" s="91"/>
      <c r="AC79" s="27"/>
      <c r="AD79" s="27"/>
    </row>
    <row r="80" ht="13.5" customHeight="1">
      <c r="A80" s="27"/>
      <c r="B80" s="28"/>
      <c r="C80" s="553" t="s">
        <v>401</v>
      </c>
      <c r="D80" s="554"/>
      <c r="E80" s="554"/>
      <c r="F80" s="501">
        <f>-(F40-D40)</f>
        <v>13910600</v>
      </c>
      <c r="G80" s="554"/>
      <c r="H80" s="554"/>
      <c r="I80" s="501">
        <f>-(I40-F40)</f>
        <v>10728666.67</v>
      </c>
      <c r="J80" s="554"/>
      <c r="K80" s="554"/>
      <c r="L80" s="501">
        <f>-(L40-I40)</f>
        <v>7546733.333</v>
      </c>
      <c r="M80" s="554"/>
      <c r="N80" s="554"/>
      <c r="O80" s="555">
        <f>-(O40-L40)</f>
        <v>4364800.001</v>
      </c>
      <c r="P80" s="554"/>
      <c r="Q80" s="554"/>
      <c r="R80" s="546">
        <f>-(R40-O40)</f>
        <v>2871200</v>
      </c>
      <c r="S80" s="552"/>
      <c r="T80" s="552"/>
      <c r="U80" s="38"/>
      <c r="V80" s="91"/>
      <c r="W80" s="91"/>
      <c r="X80" s="91"/>
      <c r="Y80" s="91"/>
      <c r="Z80" s="91"/>
      <c r="AA80" s="91"/>
      <c r="AB80" s="91"/>
      <c r="AC80" s="27"/>
      <c r="AD80" s="27"/>
    </row>
    <row r="81" ht="13.5" customHeight="1">
      <c r="A81" s="27"/>
      <c r="B81" s="28"/>
      <c r="C81" s="553" t="s">
        <v>402</v>
      </c>
      <c r="D81" s="554"/>
      <c r="E81" s="554"/>
      <c r="F81" s="501">
        <f>(F53-D53)</f>
        <v>-6114015.185</v>
      </c>
      <c r="G81" s="554"/>
      <c r="H81" s="554"/>
      <c r="I81" s="501">
        <f>(I53-F53)</f>
        <v>-6114015.185</v>
      </c>
      <c r="J81" s="554"/>
      <c r="K81" s="554"/>
      <c r="L81" s="501">
        <f>(L53-I53)</f>
        <v>-6114015.185</v>
      </c>
      <c r="M81" s="554"/>
      <c r="N81" s="554"/>
      <c r="O81" s="555">
        <f>(O53-L53)</f>
        <v>-6114015.185</v>
      </c>
      <c r="P81" s="554"/>
      <c r="Q81" s="554"/>
      <c r="R81" s="546">
        <f>(R53-O53)</f>
        <v>-6114015.185</v>
      </c>
      <c r="S81" s="552"/>
      <c r="T81" s="552"/>
      <c r="U81" s="38"/>
      <c r="V81" s="91"/>
      <c r="W81" s="91"/>
      <c r="X81" s="91"/>
      <c r="Y81" s="91"/>
      <c r="Z81" s="91"/>
      <c r="AA81" s="91"/>
      <c r="AB81" s="91"/>
      <c r="AC81" s="27"/>
      <c r="AD81" s="27"/>
    </row>
    <row r="82" ht="13.5" customHeight="1">
      <c r="A82" s="27"/>
      <c r="B82" s="28"/>
      <c r="C82" s="553" t="s">
        <v>403</v>
      </c>
      <c r="D82" s="554"/>
      <c r="E82" s="554"/>
      <c r="F82" s="501">
        <f>(F47-D47)</f>
        <v>13191780.82</v>
      </c>
      <c r="G82" s="554"/>
      <c r="H82" s="554"/>
      <c r="I82" s="501">
        <f>(I47-F47)</f>
        <v>5276712.329</v>
      </c>
      <c r="J82" s="554"/>
      <c r="K82" s="554"/>
      <c r="L82" s="501">
        <f>(L47-I47)</f>
        <v>7915068.493</v>
      </c>
      <c r="M82" s="554"/>
      <c r="N82" s="554"/>
      <c r="O82" s="555">
        <f>(O47-L47)</f>
        <v>10553424.66</v>
      </c>
      <c r="P82" s="554"/>
      <c r="Q82" s="554"/>
      <c r="R82" s="546">
        <f>(R47-O47)</f>
        <v>15830136.99</v>
      </c>
      <c r="S82" s="552"/>
      <c r="T82" s="552"/>
      <c r="U82" s="38"/>
      <c r="V82" s="91"/>
      <c r="W82" s="91"/>
      <c r="X82" s="91"/>
      <c r="Y82" s="91"/>
      <c r="Z82" s="91"/>
      <c r="AA82" s="91"/>
      <c r="AB82" s="91"/>
      <c r="AC82" s="27"/>
      <c r="AD82" s="27"/>
    </row>
    <row r="83" ht="13.5" customHeight="1">
      <c r="A83" s="27"/>
      <c r="B83" s="28"/>
      <c r="C83" s="553" t="s">
        <v>404</v>
      </c>
      <c r="D83" s="554"/>
      <c r="E83" s="554"/>
      <c r="F83" s="501">
        <f>(F61-D61)</f>
        <v>-25940594.5</v>
      </c>
      <c r="G83" s="554"/>
      <c r="H83" s="554"/>
      <c r="I83" s="501">
        <f>(I61-F61)</f>
        <v>-9786255.207</v>
      </c>
      <c r="J83" s="554"/>
      <c r="K83" s="554"/>
      <c r="L83" s="501">
        <f>(L61-I61)</f>
        <v>34166524.34</v>
      </c>
      <c r="M83" s="554"/>
      <c r="N83" s="554"/>
      <c r="O83" s="555">
        <f>(O61-L61)</f>
        <v>73474216.7</v>
      </c>
      <c r="P83" s="554"/>
      <c r="Q83" s="554"/>
      <c r="R83" s="546">
        <f>(R61-O61)</f>
        <v>131041735.4</v>
      </c>
      <c r="S83" s="552"/>
      <c r="T83" s="552"/>
      <c r="U83" s="38"/>
      <c r="V83" s="91"/>
      <c r="W83" s="91"/>
      <c r="X83" s="91"/>
      <c r="Y83" s="91"/>
      <c r="Z83" s="91"/>
      <c r="AA83" s="91"/>
      <c r="AB83" s="91"/>
      <c r="AC83" s="27"/>
      <c r="AD83" s="27"/>
    </row>
    <row r="84" ht="13.5" customHeight="1">
      <c r="A84" s="27"/>
      <c r="B84" s="28"/>
      <c r="C84" s="426" t="s">
        <v>405</v>
      </c>
      <c r="D84" s="556"/>
      <c r="E84" s="556"/>
      <c r="F84" s="557">
        <f>SUM(F80:F83)</f>
        <v>-4952228.86</v>
      </c>
      <c r="G84" s="556"/>
      <c r="H84" s="558"/>
      <c r="I84" s="557">
        <f>SUM(I80:I83)</f>
        <v>105108.6027</v>
      </c>
      <c r="J84" s="558"/>
      <c r="K84" s="556"/>
      <c r="L84" s="557">
        <f>SUM(L80:L83)</f>
        <v>43514310.98</v>
      </c>
      <c r="M84" s="556"/>
      <c r="N84" s="558"/>
      <c r="O84" s="559">
        <f>SUM(O80:O83)</f>
        <v>82278426.17</v>
      </c>
      <c r="P84" s="558"/>
      <c r="Q84" s="556"/>
      <c r="R84" s="560">
        <f>SUM(R80:R83)</f>
        <v>143629057.2</v>
      </c>
      <c r="S84" s="199"/>
      <c r="T84" s="199"/>
      <c r="U84" s="38"/>
      <c r="V84" s="91"/>
      <c r="W84" s="91"/>
      <c r="X84" s="91"/>
      <c r="Y84" s="91"/>
      <c r="Z84" s="91"/>
      <c r="AA84" s="91"/>
      <c r="AB84" s="91"/>
      <c r="AC84" s="27"/>
      <c r="AD84" s="27"/>
    </row>
    <row r="85" ht="13.5" customHeight="1">
      <c r="A85" s="27"/>
      <c r="B85" s="28"/>
      <c r="C85" s="553" t="s">
        <v>406</v>
      </c>
      <c r="D85" s="554"/>
      <c r="E85" s="554"/>
      <c r="F85" s="501">
        <f>-(F32-D32)</f>
        <v>-13191780.82</v>
      </c>
      <c r="G85" s="554"/>
      <c r="H85" s="554"/>
      <c r="I85" s="501">
        <f>-(I32-F32)</f>
        <v>-5276712.329</v>
      </c>
      <c r="J85" s="554"/>
      <c r="K85" s="554"/>
      <c r="L85" s="501">
        <f>-(L32-I32)</f>
        <v>-7915068.493</v>
      </c>
      <c r="M85" s="554"/>
      <c r="N85" s="554"/>
      <c r="O85" s="555">
        <f>-(O32-L32)</f>
        <v>-10553424.66</v>
      </c>
      <c r="P85" s="554"/>
      <c r="Q85" s="554"/>
      <c r="R85" s="546">
        <f>-(R32-O32)</f>
        <v>-15830136.99</v>
      </c>
      <c r="S85" s="552"/>
      <c r="T85" s="552"/>
      <c r="U85" s="38"/>
      <c r="V85" s="91"/>
      <c r="W85" s="91"/>
      <c r="X85" s="91"/>
      <c r="Y85" s="91"/>
      <c r="Z85" s="91"/>
      <c r="AA85" s="91"/>
      <c r="AB85" s="91"/>
      <c r="AC85" s="27"/>
      <c r="AD85" s="27"/>
    </row>
    <row r="86" ht="13.5" customHeight="1">
      <c r="A86" s="27"/>
      <c r="B86" s="28"/>
      <c r="C86" s="553" t="s">
        <v>407</v>
      </c>
      <c r="D86" s="554"/>
      <c r="E86" s="554"/>
      <c r="F86" s="501">
        <f>-(F34-D34)</f>
        <v>-8794520.548</v>
      </c>
      <c r="G86" s="554"/>
      <c r="H86" s="554"/>
      <c r="I86" s="501">
        <f>-(I34-F34)</f>
        <v>-3517808.219</v>
      </c>
      <c r="J86" s="554"/>
      <c r="K86" s="554"/>
      <c r="L86" s="501">
        <f>-(L34-I34)</f>
        <v>-5276712.329</v>
      </c>
      <c r="M86" s="554"/>
      <c r="N86" s="554"/>
      <c r="O86" s="555">
        <f>-(O34-L34)</f>
        <v>-7035616.438</v>
      </c>
      <c r="P86" s="554"/>
      <c r="Q86" s="554"/>
      <c r="R86" s="546">
        <f>-(R34-O34)</f>
        <v>-10553424.66</v>
      </c>
      <c r="S86" s="552"/>
      <c r="T86" s="552"/>
      <c r="U86" s="38"/>
      <c r="V86" s="91"/>
      <c r="W86" s="91"/>
      <c r="X86" s="91"/>
      <c r="Y86" s="91"/>
      <c r="Z86" s="91"/>
      <c r="AA86" s="91"/>
      <c r="AB86" s="91"/>
      <c r="AC86" s="27"/>
      <c r="AD86" s="27"/>
    </row>
    <row r="87" ht="13.5" customHeight="1">
      <c r="A87" s="27"/>
      <c r="B87" s="28"/>
      <c r="C87" s="553" t="s">
        <v>408</v>
      </c>
      <c r="D87" s="554"/>
      <c r="E87" s="554"/>
      <c r="F87" s="501">
        <f>-(F33-D33)</f>
        <v>11157300</v>
      </c>
      <c r="G87" s="554"/>
      <c r="H87" s="554"/>
      <c r="I87" s="501">
        <f>-(I33-F33)</f>
        <v>0</v>
      </c>
      <c r="J87" s="554"/>
      <c r="K87" s="554"/>
      <c r="L87" s="501">
        <f>-(L33-I33)</f>
        <v>0</v>
      </c>
      <c r="M87" s="554"/>
      <c r="N87" s="554"/>
      <c r="O87" s="555">
        <f>-(O33-L33)</f>
        <v>0</v>
      </c>
      <c r="P87" s="554"/>
      <c r="Q87" s="554"/>
      <c r="R87" s="546">
        <f>-(R33-O33)</f>
        <v>0</v>
      </c>
      <c r="S87" s="552"/>
      <c r="T87" s="552"/>
      <c r="U87" s="38"/>
      <c r="V87" s="91"/>
      <c r="W87" s="91"/>
      <c r="X87" s="91"/>
      <c r="Y87" s="91"/>
      <c r="Z87" s="91"/>
      <c r="AA87" s="91"/>
      <c r="AB87" s="91"/>
      <c r="AC87" s="27"/>
      <c r="AD87" s="27"/>
    </row>
    <row r="88" ht="13.5" customHeight="1">
      <c r="A88" s="27"/>
      <c r="B88" s="28"/>
      <c r="C88" s="553" t="s">
        <v>374</v>
      </c>
      <c r="D88" s="554"/>
      <c r="E88" s="554"/>
      <c r="F88" s="501">
        <f>-(F31-D31)</f>
        <v>0</v>
      </c>
      <c r="G88" s="554"/>
      <c r="H88" s="554"/>
      <c r="I88" s="501">
        <f>-(I31-F31)</f>
        <v>0</v>
      </c>
      <c r="J88" s="554"/>
      <c r="K88" s="554"/>
      <c r="L88" s="501">
        <f>-(L31-I31)</f>
        <v>0</v>
      </c>
      <c r="M88" s="554"/>
      <c r="N88" s="554"/>
      <c r="O88" s="555">
        <f>-(O31-L31)</f>
        <v>0</v>
      </c>
      <c r="P88" s="554"/>
      <c r="Q88" s="554"/>
      <c r="R88" s="546">
        <f>-(R31-O31)</f>
        <v>-1</v>
      </c>
      <c r="S88" s="552"/>
      <c r="T88" s="552"/>
      <c r="U88" s="38"/>
      <c r="V88" s="91"/>
      <c r="W88" s="91"/>
      <c r="X88" s="91"/>
      <c r="Y88" s="91"/>
      <c r="Z88" s="91"/>
      <c r="AA88" s="91"/>
      <c r="AB88" s="91"/>
      <c r="AC88" s="27"/>
      <c r="AD88" s="27"/>
    </row>
    <row r="89" ht="13.5" customHeight="1">
      <c r="A89" s="27"/>
      <c r="B89" s="28"/>
      <c r="C89" s="561" t="s">
        <v>409</v>
      </c>
      <c r="D89" s="562"/>
      <c r="E89" s="562"/>
      <c r="F89" s="563">
        <f>SUM(F84:F88)</f>
        <v>-15781230.23</v>
      </c>
      <c r="G89" s="562"/>
      <c r="H89" s="564"/>
      <c r="I89" s="563">
        <f>SUM(I84:I88)</f>
        <v>-8689411.945</v>
      </c>
      <c r="J89" s="564"/>
      <c r="K89" s="562"/>
      <c r="L89" s="563">
        <f>SUM(L84:L88)</f>
        <v>30322530.15</v>
      </c>
      <c r="M89" s="562"/>
      <c r="N89" s="564"/>
      <c r="O89" s="565">
        <f>SUM(O84:O88)</f>
        <v>64689385.07</v>
      </c>
      <c r="P89" s="564"/>
      <c r="Q89" s="562"/>
      <c r="R89" s="566">
        <f>SUM(R84:R88)</f>
        <v>117245494.5</v>
      </c>
      <c r="S89" s="199"/>
      <c r="T89" s="199"/>
      <c r="U89" s="38"/>
      <c r="V89" s="91"/>
      <c r="W89" s="91"/>
      <c r="X89" s="91"/>
      <c r="Y89" s="91"/>
      <c r="Z89" s="91"/>
      <c r="AA89" s="91"/>
      <c r="AB89" s="91"/>
      <c r="AC89" s="27"/>
      <c r="AD89" s="27"/>
    </row>
    <row r="90" ht="13.5" customHeight="1">
      <c r="A90" s="27"/>
      <c r="B90" s="28"/>
      <c r="C90" s="456"/>
      <c r="D90" s="456"/>
      <c r="E90" s="456"/>
      <c r="F90" s="526"/>
      <c r="G90" s="456"/>
      <c r="H90" s="459"/>
      <c r="I90" s="526"/>
      <c r="J90" s="459"/>
      <c r="K90" s="456"/>
      <c r="L90" s="526"/>
      <c r="M90" s="456"/>
      <c r="N90" s="459"/>
      <c r="O90" s="526"/>
      <c r="P90" s="459"/>
      <c r="Q90" s="456"/>
      <c r="R90" s="526"/>
      <c r="S90" s="199"/>
      <c r="T90" s="199"/>
      <c r="U90" s="38"/>
      <c r="V90" s="91"/>
      <c r="W90" s="91"/>
      <c r="X90" s="91"/>
      <c r="Y90" s="91"/>
      <c r="Z90" s="91"/>
      <c r="AA90" s="91"/>
      <c r="AB90" s="91"/>
      <c r="AC90" s="27"/>
      <c r="AD90" s="27"/>
    </row>
    <row r="91" ht="13.5" customHeight="1">
      <c r="A91" s="27"/>
      <c r="B91" s="28"/>
      <c r="C91" s="437"/>
      <c r="D91" s="437"/>
      <c r="E91" s="437"/>
      <c r="F91" s="528"/>
      <c r="G91" s="437"/>
      <c r="H91" s="463"/>
      <c r="I91" s="528"/>
      <c r="J91" s="463"/>
      <c r="K91" s="437"/>
      <c r="L91" s="528"/>
      <c r="M91" s="437"/>
      <c r="N91" s="463"/>
      <c r="O91" s="528"/>
      <c r="P91" s="463"/>
      <c r="Q91" s="437"/>
      <c r="R91" s="528"/>
      <c r="S91" s="199"/>
      <c r="T91" s="199"/>
      <c r="U91" s="38"/>
      <c r="V91" s="91"/>
      <c r="W91" s="91"/>
      <c r="X91" s="91"/>
      <c r="Y91" s="91"/>
      <c r="Z91" s="91"/>
      <c r="AA91" s="91"/>
      <c r="AB91" s="91"/>
      <c r="AC91" s="27"/>
      <c r="AD91" s="27"/>
    </row>
    <row r="92" ht="13.5" customHeight="1">
      <c r="A92" s="27"/>
      <c r="B92" s="28"/>
      <c r="C92" s="199"/>
      <c r="D92" s="567"/>
      <c r="E92" s="567"/>
      <c r="F92" s="568"/>
      <c r="G92" s="569"/>
      <c r="H92" s="569"/>
      <c r="I92" s="568"/>
      <c r="J92" s="569"/>
      <c r="K92" s="569"/>
      <c r="L92" s="568"/>
      <c r="M92" s="569"/>
      <c r="N92" s="569"/>
      <c r="O92" s="568"/>
      <c r="P92" s="569"/>
      <c r="Q92" s="569"/>
      <c r="R92" s="568"/>
      <c r="S92" s="569"/>
      <c r="T92" s="569"/>
      <c r="U92" s="38"/>
      <c r="V92" s="91"/>
      <c r="W92" s="91"/>
      <c r="X92" s="91"/>
      <c r="Y92" s="91"/>
      <c r="Z92" s="91"/>
      <c r="AA92" s="91"/>
      <c r="AB92" s="91"/>
      <c r="AC92" s="27"/>
      <c r="AD92" s="27"/>
    </row>
    <row r="93" ht="13.5" customHeight="1">
      <c r="A93" s="27"/>
      <c r="B93" s="27"/>
      <c r="C93" s="570"/>
      <c r="D93" s="571"/>
      <c r="E93" s="571"/>
      <c r="F93" s="572"/>
      <c r="G93" s="573"/>
      <c r="H93" s="573"/>
      <c r="I93" s="572"/>
      <c r="J93" s="573"/>
      <c r="K93" s="573"/>
      <c r="L93" s="572"/>
      <c r="M93" s="573"/>
      <c r="N93" s="573"/>
      <c r="O93" s="572"/>
      <c r="P93" s="573"/>
      <c r="Q93" s="573"/>
      <c r="R93" s="572"/>
      <c r="S93" s="573"/>
      <c r="T93" s="573"/>
      <c r="U93" s="91"/>
      <c r="V93" s="91"/>
      <c r="W93" s="91"/>
      <c r="X93" s="91"/>
      <c r="Y93" s="91"/>
      <c r="Z93" s="91"/>
      <c r="AA93" s="91"/>
      <c r="AB93" s="91"/>
      <c r="AC93" s="27"/>
      <c r="AD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D29:E29"/>
    <mergeCell ref="F29:H29"/>
    <mergeCell ref="I29:K29"/>
    <mergeCell ref="L29:N29"/>
    <mergeCell ref="O29:Q29"/>
    <mergeCell ref="R29:T29"/>
  </mergeCell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4.14"/>
    <col customWidth="1" min="3" max="3" width="56.14"/>
    <col customWidth="1" min="4" max="4" width="16.14"/>
    <col customWidth="1" min="5" max="5" width="17.0"/>
    <col customWidth="1" min="6" max="6" width="16.86"/>
    <col customWidth="1" min="7" max="7" width="17.0"/>
    <col customWidth="1" min="8" max="8" width="16.86"/>
    <col customWidth="1" min="9" max="9" width="11.71"/>
    <col customWidth="1" min="10" max="10" width="13.71"/>
    <col customWidth="1" min="11" max="17" width="10.86"/>
    <col customWidth="1" min="18" max="28" width="10.71"/>
  </cols>
  <sheetData>
    <row r="1" ht="12.75" customHeight="1">
      <c r="A1" s="574"/>
      <c r="B1" s="575"/>
      <c r="C1" s="576"/>
      <c r="D1" s="576"/>
      <c r="E1" s="576"/>
      <c r="F1" s="576"/>
      <c r="G1" s="576"/>
      <c r="H1" s="576"/>
      <c r="I1" s="2"/>
      <c r="J1" s="2"/>
      <c r="K1" s="2"/>
      <c r="L1" s="577"/>
      <c r="M1" s="577"/>
      <c r="N1" s="577"/>
      <c r="O1" s="577"/>
      <c r="P1" s="577"/>
      <c r="Q1" s="577"/>
      <c r="R1" s="577"/>
      <c r="S1" s="577"/>
      <c r="T1" s="577"/>
      <c r="U1" s="577"/>
      <c r="V1" s="577"/>
      <c r="W1" s="577"/>
      <c r="X1" s="577"/>
      <c r="Y1" s="577"/>
      <c r="Z1" s="577"/>
      <c r="AA1" s="577"/>
      <c r="AB1" s="577"/>
    </row>
    <row r="2" ht="12.75" customHeight="1">
      <c r="A2" s="574"/>
      <c r="B2" s="575"/>
      <c r="C2" s="578"/>
      <c r="D2" s="578" t="s">
        <v>235</v>
      </c>
      <c r="E2" s="578" t="s">
        <v>243</v>
      </c>
      <c r="F2" s="578" t="s">
        <v>246</v>
      </c>
      <c r="G2" s="578" t="s">
        <v>249</v>
      </c>
      <c r="H2" s="578" t="s">
        <v>254</v>
      </c>
      <c r="I2" s="2"/>
      <c r="J2" s="2"/>
      <c r="K2" s="2"/>
      <c r="L2" s="577"/>
      <c r="M2" s="577"/>
      <c r="N2" s="577"/>
      <c r="O2" s="577"/>
      <c r="P2" s="577"/>
      <c r="Q2" s="577"/>
      <c r="R2" s="577"/>
      <c r="S2" s="577"/>
      <c r="T2" s="577"/>
      <c r="U2" s="577"/>
      <c r="V2" s="577"/>
      <c r="W2" s="577"/>
      <c r="X2" s="577"/>
      <c r="Y2" s="577"/>
      <c r="Z2" s="577"/>
      <c r="AA2" s="577"/>
      <c r="AB2" s="577"/>
    </row>
    <row r="3" ht="12.75" customHeight="1">
      <c r="A3" s="574"/>
      <c r="B3" s="575"/>
      <c r="C3" s="578" t="s">
        <v>410</v>
      </c>
      <c r="D3" s="579">
        <f>('Balances Pro Forma'!F61+'Balances Pro Forma'!D61)/2</f>
        <v>32884816.64</v>
      </c>
      <c r="E3" s="579">
        <f>('Balances Pro Forma'!I61+'Balances Pro Forma'!F61)/2</f>
        <v>15021391.79</v>
      </c>
      <c r="F3" s="579">
        <f>+('Balances Pro Forma'!L61+'Balances Pro Forma'!I61)/2</f>
        <v>27211526.35</v>
      </c>
      <c r="G3" s="579">
        <f>+('Balances Pro Forma'!O61+'Balances Pro Forma'!L61)/2</f>
        <v>81031896.87</v>
      </c>
      <c r="H3" s="579">
        <f>+('Balances Pro Forma'!R61+'Balances Pro Forma'!O61)/2</f>
        <v>183289872.9</v>
      </c>
      <c r="I3" s="552"/>
      <c r="J3" s="2"/>
      <c r="K3" s="2"/>
      <c r="L3" s="577"/>
      <c r="M3" s="577"/>
      <c r="N3" s="577"/>
      <c r="O3" s="577"/>
      <c r="P3" s="577"/>
      <c r="Q3" s="577"/>
      <c r="R3" s="577"/>
      <c r="S3" s="577"/>
      <c r="T3" s="577"/>
      <c r="U3" s="577"/>
      <c r="V3" s="577"/>
      <c r="W3" s="577"/>
      <c r="X3" s="577"/>
      <c r="Y3" s="577"/>
      <c r="Z3" s="577"/>
      <c r="AA3" s="577"/>
      <c r="AB3" s="577"/>
    </row>
    <row r="4" ht="12.75" customHeight="1">
      <c r="A4" s="574"/>
      <c r="B4" s="575"/>
      <c r="C4" s="578" t="s">
        <v>411</v>
      </c>
      <c r="D4" s="579">
        <f>+('Balances Pro Forma'!F41+'Balances Pro Forma'!D41)/2</f>
        <v>66993775.39</v>
      </c>
      <c r="E4" s="579">
        <f>('Balances Pro Forma'!I41+'Balances Pro Forma'!F41)/2</f>
        <v>52250581.93</v>
      </c>
      <c r="F4" s="579">
        <f>+('Balances Pro Forma'!L41+'Balances Pro Forma'!I41)/2</f>
        <v>64922591.72</v>
      </c>
      <c r="G4" s="579">
        <f>+('Balances Pro Forma'!O41+'Balances Pro Forma'!L41)/2</f>
        <v>121863193.6</v>
      </c>
      <c r="H4" s="579">
        <f>+('Balances Pro Forma'!R41+'Balances Pro Forma'!O41)/2</f>
        <v>231198935.3</v>
      </c>
      <c r="I4" s="552"/>
      <c r="J4" s="2"/>
      <c r="K4" s="2"/>
      <c r="L4" s="577"/>
      <c r="M4" s="577"/>
      <c r="N4" s="577"/>
      <c r="O4" s="577"/>
      <c r="P4" s="577"/>
      <c r="Q4" s="577" t="s">
        <v>412</v>
      </c>
      <c r="R4" s="577"/>
      <c r="S4" s="577"/>
      <c r="T4" s="577"/>
      <c r="U4" s="577"/>
      <c r="V4" s="577"/>
      <c r="W4" s="577"/>
      <c r="X4" s="577"/>
      <c r="Y4" s="577"/>
      <c r="Z4" s="577"/>
      <c r="AA4" s="577"/>
      <c r="AB4" s="577"/>
    </row>
    <row r="5" ht="12.75" customHeight="1">
      <c r="A5" s="574"/>
      <c r="B5" s="575"/>
      <c r="C5" s="580" t="s">
        <v>413</v>
      </c>
      <c r="D5" s="581">
        <f>+'Balances Pro Forma'!F25-'Balances Pro Forma'!F21*(1-'Balances Pro Forma'!E24)</f>
        <v>-31960387.18</v>
      </c>
      <c r="E5" s="581">
        <f>+'Balances Pro Forma'!I25-'Balances Pro Forma'!I21*(1-'Balances Pro Forma'!H24)</f>
        <v>12792048.43</v>
      </c>
      <c r="F5" s="581">
        <f>+'Balances Pro Forma'!L25-'Balances Pro Forma'!L21*(1-'Balances Pro Forma'!K24)</f>
        <v>57332815.44</v>
      </c>
      <c r="G5" s="581">
        <f>+'Balances Pro Forma'!O25-'Balances Pro Forma'!O21*(1-'Balances Pro Forma'!N24)</f>
        <v>116216544.4</v>
      </c>
      <c r="H5" s="581">
        <f>+'Balances Pro Forma'!R25-'Balances Pro Forma'!R21*(1-'Balances Pro Forma'!Q24)</f>
        <v>203192313.8</v>
      </c>
      <c r="I5" s="552"/>
      <c r="J5" s="2"/>
      <c r="K5" s="2"/>
      <c r="L5" s="577"/>
      <c r="M5" s="577"/>
      <c r="N5" s="577"/>
      <c r="O5" s="577"/>
      <c r="P5" s="577"/>
      <c r="Q5" s="577" t="s">
        <v>414</v>
      </c>
      <c r="R5" s="577"/>
      <c r="S5" s="577"/>
      <c r="T5" s="577"/>
      <c r="U5" s="577"/>
      <c r="V5" s="577"/>
      <c r="W5" s="577"/>
      <c r="X5" s="577"/>
      <c r="Y5" s="577"/>
      <c r="Z5" s="577"/>
      <c r="AA5" s="577"/>
      <c r="AB5" s="577"/>
    </row>
    <row r="6" ht="12.75" customHeight="1">
      <c r="A6" s="574"/>
      <c r="B6" s="575"/>
      <c r="C6" s="578" t="s">
        <v>415</v>
      </c>
      <c r="D6" s="579">
        <f>+'Balances Pro Forma'!D35</f>
        <v>28775189.82</v>
      </c>
      <c r="E6" s="579">
        <f>+'Balances Pro Forma'!F35</f>
        <v>23822960.96</v>
      </c>
      <c r="F6" s="579">
        <f>+'Balances Pro Forma'!I35</f>
        <v>23928069.56</v>
      </c>
      <c r="G6" s="579">
        <f>+'Balances Pro Forma'!O35</f>
        <v>149720806.7</v>
      </c>
      <c r="H6" s="579">
        <f>+'Balances Pro Forma'!R35</f>
        <v>293349863.9</v>
      </c>
      <c r="I6" s="552"/>
      <c r="J6" s="2"/>
      <c r="K6" s="2"/>
      <c r="L6" s="577"/>
      <c r="M6" s="577"/>
      <c r="N6" s="577"/>
      <c r="O6" s="577"/>
      <c r="P6" s="577"/>
      <c r="Q6" s="577"/>
      <c r="R6" s="577"/>
      <c r="S6" s="577"/>
      <c r="T6" s="577"/>
      <c r="U6" s="577"/>
      <c r="V6" s="577"/>
      <c r="W6" s="577"/>
      <c r="X6" s="577"/>
      <c r="Y6" s="577"/>
      <c r="Z6" s="577"/>
      <c r="AA6" s="577"/>
      <c r="AB6" s="577"/>
    </row>
    <row r="7" ht="12.75" customHeight="1">
      <c r="A7" s="574"/>
      <c r="B7" s="575"/>
      <c r="C7" s="578" t="s">
        <v>416</v>
      </c>
      <c r="D7" s="579">
        <f>+'Balances Pro Forma'!F47</f>
        <v>13191780.82</v>
      </c>
      <c r="E7" s="579">
        <f>+'Balances Pro Forma'!I47</f>
        <v>18468493.15</v>
      </c>
      <c r="F7" s="579">
        <f>+'Balances Pro Forma'!L47</f>
        <v>26383561.64</v>
      </c>
      <c r="G7" s="579">
        <f>+'Balances Pro Forma'!O47</f>
        <v>36936986.3</v>
      </c>
      <c r="H7" s="579">
        <f>+'Balances Pro Forma'!R47</f>
        <v>52767123.29</v>
      </c>
      <c r="I7" s="552"/>
      <c r="J7" s="2"/>
      <c r="K7" s="2"/>
      <c r="L7" s="577"/>
      <c r="M7" s="577"/>
      <c r="N7" s="577"/>
      <c r="O7" s="577"/>
      <c r="P7" s="577"/>
      <c r="Q7" s="577"/>
      <c r="R7" s="577"/>
      <c r="S7" s="577"/>
      <c r="T7" s="577"/>
      <c r="U7" s="577"/>
      <c r="V7" s="577"/>
      <c r="W7" s="577"/>
      <c r="X7" s="577"/>
      <c r="Y7" s="577"/>
      <c r="Z7" s="577"/>
      <c r="AA7" s="577"/>
      <c r="AB7" s="577"/>
    </row>
    <row r="8" ht="12.75" customHeight="1">
      <c r="A8" s="582"/>
      <c r="B8" s="583"/>
      <c r="C8" s="2"/>
      <c r="D8" s="2"/>
      <c r="E8" s="2"/>
      <c r="F8" s="2"/>
      <c r="G8" s="2"/>
      <c r="H8" s="2"/>
      <c r="I8" s="2"/>
      <c r="J8" s="2"/>
      <c r="K8" s="2"/>
      <c r="L8" s="577"/>
      <c r="M8" s="577"/>
      <c r="N8" s="577"/>
      <c r="O8" s="577"/>
      <c r="P8" s="577"/>
      <c r="Q8" s="577" t="s">
        <v>417</v>
      </c>
      <c r="R8" s="577"/>
      <c r="S8" s="577"/>
      <c r="T8" s="577"/>
      <c r="U8" s="577"/>
      <c r="V8" s="577"/>
      <c r="W8" s="577"/>
      <c r="X8" s="577"/>
      <c r="Y8" s="577"/>
      <c r="Z8" s="577"/>
      <c r="AA8" s="577"/>
      <c r="AB8" s="577"/>
    </row>
    <row r="9" ht="12.75" customHeight="1">
      <c r="A9" s="584"/>
      <c r="B9" s="585"/>
      <c r="C9" s="586" t="s">
        <v>418</v>
      </c>
      <c r="D9" s="2"/>
      <c r="E9" s="2"/>
      <c r="F9" s="2"/>
      <c r="G9" s="2"/>
      <c r="H9" s="2"/>
      <c r="I9" s="2"/>
      <c r="J9" s="2"/>
      <c r="K9" s="2"/>
      <c r="L9" s="577"/>
      <c r="M9" s="577"/>
      <c r="N9" s="577"/>
      <c r="O9" s="577"/>
      <c r="P9" s="577"/>
      <c r="Q9" s="577" t="s">
        <v>419</v>
      </c>
      <c r="R9" s="577"/>
      <c r="S9" s="577"/>
      <c r="T9" s="577"/>
      <c r="U9" s="577"/>
      <c r="V9" s="577"/>
      <c r="W9" s="577"/>
      <c r="X9" s="577"/>
      <c r="Y9" s="577"/>
      <c r="Z9" s="577"/>
      <c r="AA9" s="577"/>
      <c r="AB9" s="577"/>
    </row>
    <row r="10" ht="12.75" customHeight="1">
      <c r="A10" s="582"/>
      <c r="B10" s="583"/>
      <c r="C10" s="2"/>
      <c r="D10" s="2"/>
      <c r="E10" s="2"/>
      <c r="F10" s="2"/>
      <c r="G10" s="2"/>
      <c r="H10" s="2"/>
      <c r="I10" s="2"/>
      <c r="J10" s="2"/>
      <c r="K10" s="2"/>
      <c r="L10" s="577"/>
      <c r="M10" s="577"/>
      <c r="N10" s="577"/>
      <c r="O10" s="577"/>
      <c r="P10" s="577"/>
      <c r="Q10" s="577"/>
      <c r="R10" s="577"/>
      <c r="S10" s="577"/>
      <c r="T10" s="577"/>
      <c r="U10" s="577"/>
      <c r="V10" s="577"/>
      <c r="W10" s="577"/>
      <c r="X10" s="577"/>
      <c r="Y10" s="577"/>
      <c r="Z10" s="577"/>
      <c r="AA10" s="577"/>
      <c r="AB10" s="577"/>
    </row>
    <row r="11" ht="12.75" customHeight="1">
      <c r="A11" s="587"/>
      <c r="B11" s="588"/>
      <c r="C11" s="589"/>
      <c r="D11" s="589" t="s">
        <v>235</v>
      </c>
      <c r="E11" s="589" t="s">
        <v>243</v>
      </c>
      <c r="F11" s="589" t="s">
        <v>246</v>
      </c>
      <c r="G11" s="589" t="s">
        <v>249</v>
      </c>
      <c r="H11" s="589" t="s">
        <v>254</v>
      </c>
      <c r="I11" s="589"/>
      <c r="J11" s="589" t="s">
        <v>420</v>
      </c>
      <c r="K11" s="2"/>
      <c r="L11" s="577"/>
      <c r="M11" s="577"/>
      <c r="N11" s="577"/>
      <c r="O11" s="577"/>
      <c r="P11" s="577"/>
      <c r="Q11" s="577"/>
      <c r="R11" s="577"/>
      <c r="S11" s="577"/>
      <c r="T11" s="577"/>
      <c r="U11" s="577"/>
      <c r="V11" s="577"/>
      <c r="W11" s="577"/>
      <c r="X11" s="577"/>
      <c r="Y11" s="577"/>
      <c r="Z11" s="577"/>
      <c r="AA11" s="577"/>
      <c r="AB11" s="577"/>
    </row>
    <row r="12" ht="12.75" customHeight="1">
      <c r="A12" s="574"/>
      <c r="B12" s="575"/>
      <c r="C12" s="578" t="s">
        <v>421</v>
      </c>
      <c r="D12" s="590">
        <f>+'Balances Pro Forma'!F25/'Balances Pro Forma'!F7</f>
        <v>-0.2486517565</v>
      </c>
      <c r="E12" s="590">
        <f>+'Balances Pro Forma'!I25/'Balances Pro Forma'!I7</f>
        <v>0.0286313869</v>
      </c>
      <c r="F12" s="590">
        <f>+'Balances Pro Forma'!L25/'Balances Pro Forma'!L7</f>
        <v>0.1637504162</v>
      </c>
      <c r="G12" s="590">
        <f>+'Balances Pro Forma'!O25/'Balances Pro Forma'!O7</f>
        <v>0.2515292756</v>
      </c>
      <c r="H12" s="590">
        <f>+'Balances Pro Forma'!R25/'Balances Pro Forma'!R7</f>
        <v>0.3140228502</v>
      </c>
      <c r="I12" s="578"/>
      <c r="J12" s="591" t="s">
        <v>412</v>
      </c>
      <c r="K12" s="2"/>
      <c r="L12" s="577"/>
      <c r="M12" s="577"/>
      <c r="N12" s="577"/>
      <c r="O12" s="577"/>
      <c r="P12" s="577"/>
      <c r="Q12" s="577"/>
      <c r="R12" s="577"/>
      <c r="S12" s="577"/>
      <c r="T12" s="577"/>
      <c r="U12" s="577"/>
      <c r="V12" s="577"/>
      <c r="W12" s="577"/>
      <c r="X12" s="577"/>
      <c r="Y12" s="577"/>
      <c r="Z12" s="577"/>
      <c r="AA12" s="577"/>
      <c r="AB12" s="577"/>
    </row>
    <row r="13" ht="12.75" customHeight="1">
      <c r="A13" s="574"/>
      <c r="B13" s="575"/>
      <c r="C13" s="578" t="s">
        <v>422</v>
      </c>
      <c r="D13" s="592">
        <f>+'Balances Pro Forma'!F7/'Balances Pro Forma'!F35</f>
        <v>6.737197794</v>
      </c>
      <c r="E13" s="592">
        <f>+'Balances Pro Forma'!I7/'Balances Pro Forma'!I35</f>
        <v>9.390644717</v>
      </c>
      <c r="F13" s="592">
        <f>+'Balances Pro Forma'!L7/'Balances Pro Forma'!L35</f>
        <v>4.759618469</v>
      </c>
      <c r="G13" s="592">
        <f>+'Balances Pro Forma'!O7/'Balances Pro Forma'!O35</f>
        <v>3.001586819</v>
      </c>
      <c r="H13" s="592">
        <f>+'Balances Pro Forma'!R7/'Balances Pro Forma'!R35</f>
        <v>2.188513032</v>
      </c>
      <c r="I13" s="578" t="s">
        <v>423</v>
      </c>
      <c r="J13" s="591" t="s">
        <v>414</v>
      </c>
      <c r="K13" s="2"/>
      <c r="L13" s="577"/>
      <c r="M13" s="577"/>
      <c r="N13" s="577"/>
      <c r="O13" s="577"/>
      <c r="P13" s="577"/>
      <c r="Q13" s="577"/>
      <c r="R13" s="577"/>
      <c r="S13" s="577"/>
      <c r="T13" s="577"/>
      <c r="U13" s="577"/>
      <c r="V13" s="577"/>
      <c r="W13" s="577"/>
      <c r="X13" s="577"/>
      <c r="Y13" s="577"/>
      <c r="Z13" s="577"/>
      <c r="AA13" s="577"/>
      <c r="AB13" s="577"/>
    </row>
    <row r="14" ht="12.75" customHeight="1">
      <c r="A14" s="574"/>
      <c r="B14" s="575"/>
      <c r="C14" s="578" t="s">
        <v>424</v>
      </c>
      <c r="D14" s="592">
        <f>+'Balances Pro Forma'!F7/'Balances Pro Forma'!F32</f>
        <v>12.16666667</v>
      </c>
      <c r="E14" s="592">
        <f>+'Balances Pro Forma'!I7/'Balances Pro Forma'!I32</f>
        <v>12.16666667</v>
      </c>
      <c r="F14" s="592">
        <f>+'Balances Pro Forma'!L7/'Balances Pro Forma'!L32</f>
        <v>12.16666667</v>
      </c>
      <c r="G14" s="592">
        <f>+'Balances Pro Forma'!O7/'Balances Pro Forma'!O32</f>
        <v>12.16666667</v>
      </c>
      <c r="H14" s="592">
        <f>+'Balances Pro Forma'!R7/'Balances Pro Forma'!R32</f>
        <v>12.16666667</v>
      </c>
      <c r="I14" s="578" t="s">
        <v>423</v>
      </c>
      <c r="J14" s="591" t="s">
        <v>417</v>
      </c>
      <c r="K14" s="2"/>
      <c r="L14" s="577"/>
      <c r="M14" s="577"/>
      <c r="N14" s="577"/>
      <c r="O14" s="577"/>
      <c r="P14" s="577"/>
      <c r="Q14" s="577"/>
      <c r="R14" s="577"/>
      <c r="S14" s="577"/>
      <c r="T14" s="577"/>
      <c r="U14" s="577"/>
      <c r="V14" s="577"/>
      <c r="W14" s="577"/>
      <c r="X14" s="577"/>
      <c r="Y14" s="577"/>
      <c r="Z14" s="577"/>
      <c r="AA14" s="577"/>
      <c r="AB14" s="577"/>
    </row>
    <row r="15" ht="12.75" customHeight="1">
      <c r="A15" s="574"/>
      <c r="B15" s="575"/>
      <c r="C15" s="578" t="s">
        <v>425</v>
      </c>
      <c r="D15" s="592">
        <f>+'Balances Pro Forma'!F7/'Balances Pro Forma'!F34</f>
        <v>18.25</v>
      </c>
      <c r="E15" s="592">
        <f>+'Balances Pro Forma'!I7/'Balances Pro Forma'!I34</f>
        <v>18.25</v>
      </c>
      <c r="F15" s="592">
        <f>+'Balances Pro Forma'!L7/'Balances Pro Forma'!L34</f>
        <v>18.25</v>
      </c>
      <c r="G15" s="592">
        <f>+'Balances Pro Forma'!O7/'Balances Pro Forma'!O34</f>
        <v>18.25</v>
      </c>
      <c r="H15" s="592">
        <f>+'Balances Pro Forma'!R7/'Balances Pro Forma'!R34</f>
        <v>18.25</v>
      </c>
      <c r="I15" s="578" t="s">
        <v>423</v>
      </c>
      <c r="J15" s="591" t="s">
        <v>417</v>
      </c>
      <c r="K15" s="2"/>
      <c r="L15" s="577"/>
      <c r="M15" s="577"/>
      <c r="N15" s="577"/>
      <c r="O15" s="577"/>
      <c r="P15" s="577"/>
      <c r="Q15" s="577"/>
      <c r="R15" s="577"/>
      <c r="S15" s="577"/>
      <c r="T15" s="577"/>
      <c r="U15" s="577"/>
      <c r="V15" s="577"/>
      <c r="W15" s="577"/>
      <c r="X15" s="577"/>
      <c r="Y15" s="577"/>
      <c r="Z15" s="577"/>
      <c r="AA15" s="577"/>
      <c r="AB15" s="577"/>
    </row>
    <row r="16" ht="12.75" customHeight="1">
      <c r="A16" s="574"/>
      <c r="B16" s="575"/>
      <c r="C16" s="578" t="s">
        <v>426</v>
      </c>
      <c r="D16" s="590">
        <f>'Balances Pro Forma'!F7/D4</f>
        <v>2.395744964</v>
      </c>
      <c r="E16" s="590">
        <f>'Balances Pro Forma'!I7/E4</f>
        <v>4.300430574</v>
      </c>
      <c r="F16" s="590">
        <f>'Balances Pro Forma'!L7/F4</f>
        <v>4.944349748</v>
      </c>
      <c r="G16" s="590">
        <f>'Balances Pro Forma'!O7/G4</f>
        <v>3.687741857</v>
      </c>
      <c r="H16" s="590">
        <f>'Balances Pro Forma'!R7/H4</f>
        <v>2.776829397</v>
      </c>
      <c r="I16" s="578"/>
      <c r="J16" s="591" t="s">
        <v>412</v>
      </c>
      <c r="K16" s="2"/>
      <c r="L16" s="577"/>
      <c r="M16" s="577"/>
      <c r="N16" s="577"/>
      <c r="O16" s="577"/>
      <c r="P16" s="577"/>
      <c r="Q16" s="577"/>
      <c r="R16" s="577"/>
      <c r="S16" s="577"/>
      <c r="T16" s="577"/>
      <c r="U16" s="577"/>
      <c r="V16" s="577"/>
      <c r="W16" s="577"/>
      <c r="X16" s="577"/>
      <c r="Y16" s="577"/>
      <c r="Z16" s="577"/>
      <c r="AA16" s="577"/>
      <c r="AB16" s="577"/>
    </row>
    <row r="17" ht="12.75" customHeight="1">
      <c r="A17" s="574"/>
      <c r="B17" s="575"/>
      <c r="C17" s="578" t="s">
        <v>427</v>
      </c>
      <c r="D17" s="592">
        <f>+'Balances Pro Forma'!F7/D3</f>
        <v>4.880671884</v>
      </c>
      <c r="E17" s="592">
        <f>'Balances Pro Forma'!I7/E3</f>
        <v>14.95866716</v>
      </c>
      <c r="F17" s="592">
        <f>'Balances Pro Forma'!L7/F3</f>
        <v>11.79647168</v>
      </c>
      <c r="G17" s="592">
        <f>'Balances Pro Forma'!O7/G3</f>
        <v>5.545964211</v>
      </c>
      <c r="H17" s="592">
        <f>+'Balances Pro Forma'!R7/H3</f>
        <v>3.502648509</v>
      </c>
      <c r="I17" s="578" t="s">
        <v>423</v>
      </c>
      <c r="J17" s="591" t="s">
        <v>412</v>
      </c>
      <c r="K17" s="2"/>
      <c r="L17" s="577"/>
      <c r="M17" s="577"/>
      <c r="N17" s="577"/>
      <c r="O17" s="577"/>
      <c r="P17" s="577"/>
      <c r="Q17" s="577"/>
      <c r="R17" s="577"/>
      <c r="S17" s="577"/>
      <c r="T17" s="577"/>
      <c r="U17" s="577"/>
      <c r="V17" s="577"/>
      <c r="W17" s="577"/>
      <c r="X17" s="577"/>
      <c r="Y17" s="577"/>
      <c r="Z17" s="577"/>
      <c r="AA17" s="577"/>
      <c r="AB17" s="577"/>
    </row>
    <row r="18" ht="12.75" customHeight="1">
      <c r="A18" s="574"/>
      <c r="B18" s="575"/>
      <c r="C18" s="578" t="s">
        <v>428</v>
      </c>
      <c r="D18" s="590">
        <f t="shared" ref="D18:H18" si="1">D19/D20</f>
        <v>2.543862097</v>
      </c>
      <c r="E18" s="590">
        <f t="shared" si="1"/>
        <v>1.749388717</v>
      </c>
      <c r="F18" s="590">
        <f t="shared" si="1"/>
        <v>2.187394528</v>
      </c>
      <c r="G18" s="590">
        <f t="shared" si="1"/>
        <v>1.462750315</v>
      </c>
      <c r="H18" s="590">
        <f t="shared" si="1"/>
        <v>1.251515876</v>
      </c>
      <c r="I18" s="578"/>
      <c r="J18" s="591" t="s">
        <v>414</v>
      </c>
      <c r="K18" s="2"/>
      <c r="L18" s="577"/>
      <c r="M18" s="577"/>
      <c r="N18" s="577"/>
      <c r="O18" s="577"/>
      <c r="P18" s="577"/>
      <c r="Q18" s="577"/>
      <c r="R18" s="577"/>
      <c r="S18" s="577"/>
      <c r="T18" s="577"/>
      <c r="U18" s="577"/>
      <c r="V18" s="577"/>
      <c r="W18" s="577"/>
      <c r="X18" s="577"/>
      <c r="Y18" s="577"/>
      <c r="Z18" s="577"/>
      <c r="AA18" s="577"/>
      <c r="AB18" s="577"/>
    </row>
    <row r="19" ht="12.75" customHeight="1">
      <c r="A19" s="574"/>
      <c r="B19" s="575"/>
      <c r="C19" s="578" t="s">
        <v>429</v>
      </c>
      <c r="D19" s="590">
        <f t="shared" ref="D19:H19" si="2">D12*D16*D21</f>
        <v>-1.213587637</v>
      </c>
      <c r="E19" s="590">
        <f t="shared" si="2"/>
        <v>0.4282873868</v>
      </c>
      <c r="F19" s="590">
        <f t="shared" si="2"/>
        <v>1.931677147</v>
      </c>
      <c r="G19" s="590">
        <f t="shared" si="2"/>
        <v>1.394972361</v>
      </c>
      <c r="H19" s="590">
        <f t="shared" si="2"/>
        <v>1.099911668</v>
      </c>
      <c r="I19" s="578"/>
      <c r="J19" s="591" t="s">
        <v>412</v>
      </c>
      <c r="K19" s="2"/>
      <c r="L19" s="577"/>
      <c r="M19" s="577"/>
      <c r="N19" s="577"/>
      <c r="O19" s="577"/>
      <c r="P19" s="577"/>
      <c r="Q19" s="577"/>
      <c r="R19" s="577"/>
      <c r="S19" s="577"/>
      <c r="T19" s="577"/>
      <c r="U19" s="577"/>
      <c r="V19" s="577"/>
      <c r="W19" s="577"/>
      <c r="X19" s="577"/>
      <c r="Y19" s="577"/>
      <c r="Z19" s="577"/>
      <c r="AA19" s="577"/>
      <c r="AB19" s="577"/>
    </row>
    <row r="20" ht="12.75" customHeight="1">
      <c r="A20" s="574"/>
      <c r="B20" s="575"/>
      <c r="C20" s="578" t="s">
        <v>430</v>
      </c>
      <c r="D20" s="590">
        <f t="shared" ref="D20:H20" si="3">D5/D4</f>
        <v>-0.4770650257</v>
      </c>
      <c r="E20" s="590">
        <f t="shared" si="3"/>
        <v>0.2448211667</v>
      </c>
      <c r="F20" s="590">
        <f t="shared" si="3"/>
        <v>0.8830949893</v>
      </c>
      <c r="G20" s="590">
        <f t="shared" si="3"/>
        <v>0.9536640301</v>
      </c>
      <c r="H20" s="590">
        <f t="shared" si="3"/>
        <v>0.8788635358</v>
      </c>
      <c r="I20" s="578"/>
      <c r="J20" s="591" t="s">
        <v>412</v>
      </c>
      <c r="K20" s="2"/>
      <c r="L20" s="577"/>
      <c r="M20" s="577"/>
      <c r="N20" s="577"/>
      <c r="O20" s="577"/>
      <c r="P20" s="577"/>
      <c r="Q20" s="577"/>
      <c r="R20" s="577"/>
      <c r="S20" s="577"/>
      <c r="T20" s="577"/>
      <c r="U20" s="577"/>
      <c r="V20" s="577"/>
      <c r="W20" s="577"/>
      <c r="X20" s="577"/>
      <c r="Y20" s="577"/>
      <c r="Z20" s="577"/>
      <c r="AA20" s="577"/>
      <c r="AB20" s="577"/>
    </row>
    <row r="21" ht="12.75" customHeight="1">
      <c r="A21" s="574"/>
      <c r="B21" s="575"/>
      <c r="C21" s="578" t="s">
        <v>431</v>
      </c>
      <c r="D21" s="593">
        <f t="shared" ref="D21:H21" si="4">D4/D3</f>
        <v>2.037225146</v>
      </c>
      <c r="E21" s="593">
        <f t="shared" si="4"/>
        <v>3.478411498</v>
      </c>
      <c r="F21" s="593">
        <f t="shared" si="4"/>
        <v>2.385848955</v>
      </c>
      <c r="G21" s="593">
        <f t="shared" si="4"/>
        <v>1.503891657</v>
      </c>
      <c r="H21" s="593">
        <f t="shared" si="4"/>
        <v>1.261384121</v>
      </c>
      <c r="I21" s="578"/>
      <c r="J21" s="591" t="s">
        <v>412</v>
      </c>
      <c r="K21" s="2"/>
      <c r="L21" s="577"/>
      <c r="M21" s="577"/>
      <c r="N21" s="577"/>
      <c r="O21" s="577"/>
      <c r="P21" s="577"/>
      <c r="Q21" s="577"/>
      <c r="R21" s="577"/>
      <c r="S21" s="577"/>
      <c r="T21" s="577"/>
      <c r="U21" s="577"/>
      <c r="V21" s="577"/>
      <c r="W21" s="577"/>
      <c r="X21" s="577"/>
      <c r="Y21" s="577"/>
      <c r="Z21" s="577"/>
      <c r="AA21" s="577"/>
      <c r="AB21" s="577"/>
    </row>
    <row r="22" ht="12.75" customHeight="1">
      <c r="A22" s="582"/>
      <c r="B22" s="583"/>
      <c r="C22" s="2"/>
      <c r="D22" s="2"/>
      <c r="E22" s="2"/>
      <c r="F22" s="2"/>
      <c r="G22" s="2"/>
      <c r="H22" s="2"/>
      <c r="I22" s="2"/>
      <c r="J22" s="2"/>
      <c r="K22" s="2"/>
      <c r="L22" s="577"/>
      <c r="M22" s="577"/>
      <c r="N22" s="577"/>
      <c r="O22" s="577"/>
      <c r="P22" s="577"/>
      <c r="Q22" s="577"/>
      <c r="R22" s="577"/>
      <c r="S22" s="577"/>
      <c r="T22" s="577"/>
      <c r="U22" s="577"/>
      <c r="V22" s="577"/>
      <c r="W22" s="577"/>
      <c r="X22" s="577"/>
      <c r="Y22" s="577"/>
      <c r="Z22" s="577"/>
      <c r="AA22" s="577"/>
      <c r="AB22" s="577"/>
    </row>
    <row r="23" ht="12.75" customHeight="1">
      <c r="A23" s="594"/>
      <c r="B23" s="595"/>
      <c r="C23" s="590" t="s">
        <v>432</v>
      </c>
      <c r="D23" s="596"/>
      <c r="E23" s="597"/>
      <c r="F23" s="597"/>
      <c r="G23" s="597"/>
      <c r="H23" s="597"/>
      <c r="I23" s="598"/>
      <c r="J23" s="599"/>
      <c r="K23" s="2"/>
      <c r="L23" s="577"/>
      <c r="M23" s="577"/>
      <c r="N23" s="577"/>
      <c r="O23" s="577"/>
      <c r="P23" s="577"/>
      <c r="Q23" s="577"/>
      <c r="R23" s="577"/>
      <c r="S23" s="577"/>
      <c r="T23" s="577"/>
      <c r="U23" s="577"/>
      <c r="V23" s="577"/>
      <c r="W23" s="577"/>
      <c r="X23" s="577"/>
      <c r="Y23" s="577"/>
      <c r="Z23" s="577"/>
      <c r="AA23" s="577"/>
      <c r="AB23" s="577"/>
    </row>
    <row r="24" ht="12.75" customHeight="1">
      <c r="A24" s="582"/>
      <c r="B24" s="583"/>
      <c r="C24" s="2"/>
      <c r="D24" s="600"/>
      <c r="I24" s="601"/>
      <c r="J24" s="599"/>
      <c r="K24" s="2"/>
      <c r="L24" s="577"/>
      <c r="M24" s="577"/>
      <c r="N24" s="577"/>
      <c r="O24" s="577"/>
      <c r="P24" s="577"/>
      <c r="Q24" s="577"/>
      <c r="R24" s="577"/>
      <c r="S24" s="577"/>
      <c r="T24" s="577"/>
      <c r="U24" s="577"/>
      <c r="V24" s="577"/>
      <c r="W24" s="577"/>
      <c r="X24" s="577"/>
      <c r="Y24" s="577"/>
      <c r="Z24" s="577"/>
      <c r="AA24" s="577"/>
      <c r="AB24" s="577"/>
    </row>
    <row r="25" ht="12.75" customHeight="1">
      <c r="A25" s="582"/>
      <c r="B25" s="583"/>
      <c r="C25" s="2"/>
      <c r="D25" s="600"/>
      <c r="I25" s="601"/>
      <c r="J25" s="599"/>
      <c r="K25" s="2"/>
      <c r="L25" s="577"/>
      <c r="M25" s="577"/>
      <c r="N25" s="577"/>
      <c r="O25" s="577"/>
      <c r="P25" s="577"/>
      <c r="Q25" s="577"/>
      <c r="R25" s="577"/>
      <c r="S25" s="577"/>
      <c r="T25" s="577"/>
      <c r="U25" s="577"/>
      <c r="V25" s="577"/>
      <c r="W25" s="577"/>
      <c r="X25" s="577"/>
      <c r="Y25" s="577"/>
      <c r="Z25" s="577"/>
      <c r="AA25" s="577"/>
      <c r="AB25" s="577"/>
    </row>
    <row r="26" ht="12.75" customHeight="1">
      <c r="A26" s="582"/>
      <c r="B26" s="583"/>
      <c r="C26" s="2"/>
      <c r="D26" s="602"/>
      <c r="E26" s="603"/>
      <c r="F26" s="603"/>
      <c r="G26" s="603"/>
      <c r="H26" s="603"/>
      <c r="I26" s="604"/>
      <c r="J26" s="599"/>
      <c r="K26" s="2"/>
      <c r="L26" s="577"/>
      <c r="M26" s="577"/>
      <c r="N26" s="577"/>
      <c r="O26" s="577"/>
      <c r="P26" s="577"/>
      <c r="Q26" s="577"/>
      <c r="R26" s="577"/>
      <c r="S26" s="577"/>
      <c r="T26" s="577"/>
      <c r="U26" s="577"/>
      <c r="V26" s="577"/>
      <c r="W26" s="577"/>
      <c r="X26" s="577"/>
      <c r="Y26" s="577"/>
      <c r="Z26" s="577"/>
      <c r="AA26" s="577"/>
      <c r="AB26" s="577"/>
    </row>
    <row r="27" ht="12.75" customHeight="1">
      <c r="A27" s="584"/>
      <c r="B27" s="585"/>
      <c r="C27" s="586" t="s">
        <v>433</v>
      </c>
      <c r="D27" s="2"/>
      <c r="E27" s="2"/>
      <c r="F27" s="2"/>
      <c r="G27" s="2"/>
      <c r="H27" s="2"/>
      <c r="I27" s="2"/>
      <c r="J27" s="2"/>
      <c r="K27" s="2"/>
      <c r="L27" s="577"/>
      <c r="M27" s="577"/>
      <c r="N27" s="577"/>
      <c r="O27" s="577"/>
      <c r="P27" s="577"/>
      <c r="Q27" s="577"/>
      <c r="R27" s="577"/>
      <c r="S27" s="577"/>
      <c r="T27" s="577"/>
      <c r="U27" s="577"/>
      <c r="V27" s="577"/>
      <c r="W27" s="577"/>
      <c r="X27" s="577"/>
      <c r="Y27" s="577"/>
      <c r="Z27" s="577"/>
      <c r="AA27" s="577"/>
      <c r="AB27" s="577"/>
    </row>
    <row r="28" ht="12.75" customHeight="1">
      <c r="A28" s="582"/>
      <c r="B28" s="583"/>
      <c r="C28" s="2"/>
      <c r="D28" s="2"/>
      <c r="E28" s="2"/>
      <c r="F28" s="2"/>
      <c r="G28" s="2"/>
      <c r="H28" s="2"/>
      <c r="I28" s="2"/>
      <c r="J28" s="2"/>
      <c r="K28" s="2"/>
      <c r="L28" s="577"/>
      <c r="M28" s="577"/>
      <c r="N28" s="577"/>
      <c r="O28" s="577"/>
      <c r="P28" s="577"/>
      <c r="Q28" s="577"/>
      <c r="R28" s="577"/>
      <c r="S28" s="577"/>
      <c r="T28" s="577"/>
      <c r="U28" s="577"/>
      <c r="V28" s="577"/>
      <c r="W28" s="577"/>
      <c r="X28" s="577"/>
      <c r="Y28" s="577"/>
      <c r="Z28" s="577"/>
      <c r="AA28" s="577"/>
      <c r="AB28" s="577"/>
    </row>
    <row r="29" ht="12.75" customHeight="1">
      <c r="A29" s="587"/>
      <c r="B29" s="588"/>
      <c r="C29" s="589"/>
      <c r="D29" s="589" t="s">
        <v>235</v>
      </c>
      <c r="E29" s="589" t="s">
        <v>243</v>
      </c>
      <c r="F29" s="589" t="s">
        <v>246</v>
      </c>
      <c r="G29" s="589" t="s">
        <v>249</v>
      </c>
      <c r="H29" s="589" t="s">
        <v>254</v>
      </c>
      <c r="I29" s="589" t="s">
        <v>420</v>
      </c>
      <c r="J29" s="2"/>
      <c r="K29" s="2"/>
      <c r="L29" s="577"/>
      <c r="M29" s="577"/>
      <c r="N29" s="577"/>
      <c r="O29" s="577"/>
      <c r="P29" s="577"/>
      <c r="Q29" s="577"/>
      <c r="R29" s="577"/>
      <c r="S29" s="577"/>
      <c r="T29" s="577"/>
      <c r="U29" s="577"/>
      <c r="V29" s="577"/>
      <c r="W29" s="577"/>
      <c r="X29" s="577"/>
      <c r="Y29" s="577"/>
      <c r="Z29" s="577"/>
      <c r="AA29" s="577"/>
      <c r="AB29" s="577"/>
    </row>
    <row r="30" ht="12.75" customHeight="1">
      <c r="A30" s="574"/>
      <c r="B30" s="575"/>
      <c r="C30" s="578" t="s">
        <v>434</v>
      </c>
      <c r="D30" s="593">
        <f t="shared" ref="D30:H30" si="5">+D6/D7</f>
        <v>2.18129684</v>
      </c>
      <c r="E30" s="593">
        <f t="shared" si="5"/>
        <v>1.289924455</v>
      </c>
      <c r="F30" s="593">
        <f t="shared" si="5"/>
        <v>0.9069309854</v>
      </c>
      <c r="G30" s="593">
        <f t="shared" si="5"/>
        <v>4.053411545</v>
      </c>
      <c r="H30" s="593">
        <f t="shared" si="5"/>
        <v>5.559330234</v>
      </c>
      <c r="I30" s="605" t="s">
        <v>412</v>
      </c>
      <c r="J30" s="2"/>
      <c r="K30" s="2"/>
      <c r="L30" s="577"/>
      <c r="M30" s="577"/>
      <c r="N30" s="577"/>
      <c r="O30" s="577"/>
      <c r="P30" s="577"/>
      <c r="Q30" s="577"/>
      <c r="R30" s="577"/>
      <c r="S30" s="577"/>
      <c r="T30" s="577"/>
      <c r="U30" s="577"/>
      <c r="V30" s="577"/>
      <c r="W30" s="577"/>
      <c r="X30" s="577"/>
      <c r="Y30" s="577"/>
      <c r="Z30" s="577"/>
      <c r="AA30" s="577"/>
      <c r="AB30" s="577"/>
    </row>
    <row r="31" ht="12.75" customHeight="1">
      <c r="A31" s="574"/>
      <c r="B31" s="575"/>
      <c r="C31" s="578" t="s">
        <v>435</v>
      </c>
      <c r="D31" s="593">
        <f>+('Balances Pro Forma'!F30+'Balances Pro Forma'!F32)/D7</f>
        <v>1.13922757</v>
      </c>
      <c r="E31" s="606">
        <f>+('Balances Pro Forma'!I30+'Balances Pro Forma'!I32)/E7</f>
        <v>0.6289490267</v>
      </c>
      <c r="F31" s="606">
        <f>+('Balances Pro Forma'!L30+'Balances Pro Forma'!L32)/F7</f>
        <v>1.889560633</v>
      </c>
      <c r="G31" s="606">
        <f>+('Balances Pro Forma'!O30+'Balances Pro Forma'!O32)/G7</f>
        <v>3.386744878</v>
      </c>
      <c r="H31" s="606">
        <f>+('Balances Pro Forma'!R30+'Balances Pro Forma'!R32)/H7</f>
        <v>4.892663549</v>
      </c>
      <c r="I31" s="605" t="s">
        <v>412</v>
      </c>
      <c r="J31" s="2"/>
      <c r="K31" s="2"/>
      <c r="L31" s="577"/>
      <c r="M31" s="577"/>
      <c r="N31" s="577"/>
      <c r="O31" s="577"/>
      <c r="P31" s="577"/>
      <c r="Q31" s="577"/>
      <c r="R31" s="577"/>
      <c r="S31" s="577"/>
      <c r="T31" s="577"/>
      <c r="U31" s="577"/>
      <c r="V31" s="577"/>
      <c r="W31" s="577"/>
      <c r="X31" s="577"/>
      <c r="Y31" s="577"/>
      <c r="Z31" s="577"/>
      <c r="AA31" s="577"/>
      <c r="AB31" s="577"/>
    </row>
    <row r="32" ht="12.75" customHeight="1">
      <c r="A32" s="574"/>
      <c r="B32" s="575"/>
      <c r="C32" s="578" t="s">
        <v>436</v>
      </c>
      <c r="D32" s="593">
        <f>+'Balances Pro Forma'!F41/'Balances Pro Forma'!F54</f>
        <v>1.528968423</v>
      </c>
      <c r="E32" s="593">
        <f>+'Balances Pro Forma'!I41/'Balances Pro Forma'!I54</f>
        <v>1.275145775</v>
      </c>
      <c r="F32" s="593">
        <f>+'Balances Pro Forma'!L41/'Balances Pro Forma'!L54</f>
        <v>2.147188868</v>
      </c>
      <c r="G32" s="593">
        <f>+'Balances Pro Forma'!O41/'Balances Pro Forma'!O54</f>
        <v>3.735569468</v>
      </c>
      <c r="H32" s="593">
        <f>+'Balances Pro Forma'!R41/'Balances Pro Forma'!R54</f>
        <v>5.71526066</v>
      </c>
      <c r="I32" s="607" t="s">
        <v>419</v>
      </c>
      <c r="J32" s="2"/>
      <c r="K32" s="2"/>
      <c r="L32" s="577"/>
      <c r="M32" s="577"/>
      <c r="N32" s="577"/>
      <c r="O32" s="577"/>
      <c r="P32" s="577"/>
      <c r="Q32" s="577"/>
      <c r="R32" s="577"/>
      <c r="S32" s="577"/>
      <c r="T32" s="577"/>
      <c r="U32" s="577"/>
      <c r="V32" s="577"/>
      <c r="W32" s="577"/>
      <c r="X32" s="577"/>
      <c r="Y32" s="577"/>
      <c r="Z32" s="577"/>
      <c r="AA32" s="577"/>
      <c r="AB32" s="577"/>
    </row>
    <row r="33" ht="12.75" customHeight="1">
      <c r="A33" s="574"/>
      <c r="B33" s="575"/>
      <c r="C33" s="578" t="s">
        <v>437</v>
      </c>
      <c r="D33" s="593">
        <f>+'Balances Pro Forma'!F30/'Balances Pro Forma'!F47</f>
        <v>0.1392275699</v>
      </c>
      <c r="E33" s="593">
        <f>+'Balances Pro Forma'!I30/'Balances Pro Forma'!I47</f>
        <v>-0.3710509733</v>
      </c>
      <c r="F33" s="593">
        <f>+'Balances Pro Forma'!L30/'Balances Pro Forma'!L47</f>
        <v>0.889560633</v>
      </c>
      <c r="G33" s="593">
        <f>+'Balances Pro Forma'!O30/'Balances Pro Forma'!O47</f>
        <v>2.386744878</v>
      </c>
      <c r="H33" s="593">
        <f>+'Balances Pro Forma'!R30/'Balances Pro Forma'!R47</f>
        <v>3.892663549</v>
      </c>
      <c r="I33" s="607" t="s">
        <v>419</v>
      </c>
      <c r="J33" s="2"/>
      <c r="K33" s="2"/>
      <c r="L33" s="577"/>
      <c r="M33" s="577"/>
      <c r="N33" s="577"/>
      <c r="O33" s="577"/>
      <c r="P33" s="577"/>
      <c r="Q33" s="577"/>
      <c r="R33" s="577"/>
      <c r="S33" s="577"/>
      <c r="T33" s="577"/>
      <c r="U33" s="577"/>
      <c r="V33" s="577"/>
      <c r="W33" s="577"/>
      <c r="X33" s="577"/>
      <c r="Y33" s="577"/>
      <c r="Z33" s="577"/>
      <c r="AA33" s="577"/>
      <c r="AB33" s="577"/>
    </row>
    <row r="34" ht="12.75" customHeight="1">
      <c r="A34" s="574"/>
      <c r="B34" s="575"/>
      <c r="C34" s="578" t="s">
        <v>438</v>
      </c>
      <c r="D34" s="593">
        <f>+('Balances Pro Forma'!F7/'Balances Pro Forma'!F32)*365</f>
        <v>4440.833333</v>
      </c>
      <c r="E34" s="593">
        <f>+('Balances Pro Forma'!I7/'Balances Pro Forma'!I32)*365</f>
        <v>4440.833333</v>
      </c>
      <c r="F34" s="593">
        <f>+('Balances Pro Forma'!L7/'Balances Pro Forma'!L32)*365</f>
        <v>4440.833333</v>
      </c>
      <c r="G34" s="593">
        <f>+('Balances Pro Forma'!O7/'Balances Pro Forma'!O32)*365</f>
        <v>4440.833333</v>
      </c>
      <c r="H34" s="593">
        <f>+('Balances Pro Forma'!R7/'Balances Pro Forma'!R32)*365</f>
        <v>4440.833333</v>
      </c>
      <c r="I34" s="605" t="s">
        <v>417</v>
      </c>
      <c r="J34" s="2"/>
      <c r="K34" s="2"/>
      <c r="L34" s="577"/>
      <c r="M34" s="577"/>
      <c r="N34" s="577"/>
      <c r="O34" s="577"/>
      <c r="P34" s="577"/>
      <c r="Q34" s="577"/>
      <c r="R34" s="577"/>
      <c r="S34" s="577"/>
      <c r="T34" s="577"/>
      <c r="U34" s="577"/>
      <c r="V34" s="577"/>
      <c r="W34" s="577"/>
      <c r="X34" s="577"/>
      <c r="Y34" s="577"/>
      <c r="Z34" s="577"/>
      <c r="AA34" s="577"/>
      <c r="AB34" s="577"/>
    </row>
    <row r="35" ht="12.75" customHeight="1">
      <c r="A35" s="574"/>
      <c r="B35" s="575"/>
      <c r="C35" s="578" t="s">
        <v>439</v>
      </c>
      <c r="D35" s="593">
        <f>+('Balances Pro Forma'!F45/'Balances Pro Forma'!F8)*365</f>
        <v>-129.7121452</v>
      </c>
      <c r="E35" s="593">
        <f>+('Balances Pro Forma'!I45/'Balances Pro Forma'!I8)*365</f>
        <v>-129.7121452</v>
      </c>
      <c r="F35" s="593">
        <f>+('Balances Pro Forma'!L45/'Balances Pro Forma'!L8)*365</f>
        <v>-129.7121452</v>
      </c>
      <c r="G35" s="593">
        <f>+('Balances Pro Forma'!O45/'Balances Pro Forma'!O8)*365</f>
        <v>-129.7121452</v>
      </c>
      <c r="H35" s="593">
        <f>+('Balances Pro Forma'!R45/'Balances Pro Forma'!R8)*365</f>
        <v>-129.7121452</v>
      </c>
      <c r="I35" s="605" t="s">
        <v>417</v>
      </c>
      <c r="J35" s="2"/>
      <c r="K35" s="2"/>
      <c r="L35" s="577"/>
      <c r="M35" s="577"/>
      <c r="N35" s="577"/>
      <c r="O35" s="577"/>
      <c r="P35" s="577"/>
      <c r="Q35" s="577"/>
      <c r="R35" s="577"/>
      <c r="S35" s="577"/>
      <c r="T35" s="577"/>
      <c r="U35" s="577"/>
      <c r="V35" s="577"/>
      <c r="W35" s="577"/>
      <c r="X35" s="577"/>
      <c r="Y35" s="577"/>
      <c r="Z35" s="577"/>
      <c r="AA35" s="577"/>
      <c r="AB35" s="577"/>
    </row>
    <row r="36" ht="12.75" customHeight="1">
      <c r="A36" s="582"/>
      <c r="B36" s="583"/>
      <c r="C36" s="2"/>
      <c r="D36" s="2"/>
      <c r="E36" s="2"/>
      <c r="F36" s="2"/>
      <c r="G36" s="2"/>
      <c r="H36" s="2"/>
      <c r="I36" s="2"/>
      <c r="J36" s="2"/>
      <c r="K36" s="2"/>
      <c r="L36" s="577"/>
      <c r="M36" s="577"/>
      <c r="N36" s="577"/>
      <c r="O36" s="577"/>
      <c r="P36" s="577"/>
      <c r="Q36" s="577"/>
      <c r="R36" s="577"/>
      <c r="S36" s="577"/>
      <c r="T36" s="577"/>
      <c r="U36" s="577"/>
      <c r="V36" s="577"/>
      <c r="W36" s="577"/>
      <c r="X36" s="577"/>
      <c r="Y36" s="577"/>
      <c r="Z36" s="577"/>
      <c r="AA36" s="577"/>
      <c r="AB36" s="577"/>
    </row>
    <row r="37" ht="12.75" customHeight="1">
      <c r="A37" s="594"/>
      <c r="B37" s="595"/>
      <c r="C37" s="590" t="s">
        <v>432</v>
      </c>
      <c r="D37" s="596"/>
      <c r="E37" s="597"/>
      <c r="F37" s="597"/>
      <c r="G37" s="597"/>
      <c r="H37" s="597"/>
      <c r="I37" s="598"/>
      <c r="J37" s="2"/>
      <c r="K37" s="2"/>
      <c r="L37" s="577"/>
      <c r="M37" s="577"/>
      <c r="N37" s="577"/>
      <c r="O37" s="577"/>
      <c r="P37" s="577"/>
      <c r="Q37" s="577"/>
      <c r="R37" s="577"/>
      <c r="S37" s="577"/>
      <c r="T37" s="577"/>
      <c r="U37" s="577"/>
      <c r="V37" s="577"/>
      <c r="W37" s="577"/>
      <c r="X37" s="577"/>
      <c r="Y37" s="577"/>
      <c r="Z37" s="577"/>
      <c r="AA37" s="577"/>
      <c r="AB37" s="577"/>
    </row>
    <row r="38" ht="12.75" customHeight="1">
      <c r="A38" s="582"/>
      <c r="B38" s="2"/>
      <c r="C38" s="2"/>
      <c r="D38" s="608"/>
      <c r="I38" s="601"/>
      <c r="J38" s="2"/>
      <c r="K38" s="2"/>
      <c r="L38" s="577"/>
      <c r="M38" s="577"/>
      <c r="N38" s="577"/>
      <c r="O38" s="577"/>
      <c r="P38" s="577"/>
      <c r="Q38" s="577"/>
      <c r="R38" s="577"/>
      <c r="S38" s="577"/>
      <c r="T38" s="577"/>
      <c r="U38" s="577"/>
      <c r="V38" s="577"/>
      <c r="W38" s="577"/>
      <c r="X38" s="577"/>
      <c r="Y38" s="577"/>
      <c r="Z38" s="577"/>
      <c r="AA38" s="577"/>
      <c r="AB38" s="577"/>
    </row>
    <row r="39" ht="12.75" customHeight="1">
      <c r="A39" s="582"/>
      <c r="B39" s="2"/>
      <c r="C39" s="2"/>
      <c r="D39" s="608"/>
      <c r="I39" s="601"/>
      <c r="J39" s="2"/>
      <c r="K39" s="2"/>
      <c r="L39" s="577"/>
      <c r="M39" s="577"/>
      <c r="N39" s="577"/>
      <c r="O39" s="577"/>
      <c r="P39" s="577"/>
      <c r="Q39" s="577"/>
      <c r="R39" s="577"/>
      <c r="S39" s="577"/>
      <c r="T39" s="577"/>
      <c r="U39" s="577"/>
      <c r="V39" s="577"/>
      <c r="W39" s="577"/>
      <c r="X39" s="577"/>
      <c r="Y39" s="577"/>
      <c r="Z39" s="577"/>
      <c r="AA39" s="577"/>
      <c r="AB39" s="577"/>
    </row>
    <row r="40" ht="12.75" customHeight="1">
      <c r="A40" s="582"/>
      <c r="B40" s="2"/>
      <c r="C40" s="2"/>
      <c r="D40" s="608"/>
      <c r="I40" s="601"/>
      <c r="J40" s="2"/>
      <c r="K40" s="2"/>
      <c r="L40" s="577"/>
      <c r="M40" s="577"/>
      <c r="N40" s="577"/>
      <c r="O40" s="577"/>
      <c r="P40" s="577"/>
      <c r="Q40" s="577"/>
      <c r="R40" s="577"/>
      <c r="S40" s="577"/>
      <c r="T40" s="577"/>
      <c r="U40" s="577"/>
      <c r="V40" s="577"/>
      <c r="W40" s="577"/>
      <c r="X40" s="577"/>
      <c r="Y40" s="577"/>
      <c r="Z40" s="577"/>
      <c r="AA40" s="577"/>
      <c r="AB40" s="577"/>
    </row>
    <row r="41" ht="12.75" customHeight="1">
      <c r="A41" s="582"/>
      <c r="B41" s="2"/>
      <c r="C41" s="2"/>
      <c r="D41" s="608"/>
      <c r="I41" s="601"/>
      <c r="J41" s="2"/>
      <c r="K41" s="2"/>
      <c r="L41" s="577"/>
      <c r="M41" s="577"/>
      <c r="N41" s="577"/>
      <c r="O41" s="577"/>
      <c r="P41" s="577"/>
      <c r="Q41" s="577"/>
      <c r="R41" s="577"/>
      <c r="S41" s="577"/>
      <c r="T41" s="577"/>
      <c r="U41" s="577"/>
      <c r="V41" s="577"/>
      <c r="W41" s="577"/>
      <c r="X41" s="577"/>
      <c r="Y41" s="577"/>
      <c r="Z41" s="577"/>
      <c r="AA41" s="577"/>
      <c r="AB41" s="577"/>
    </row>
    <row r="42" ht="12.75" customHeight="1">
      <c r="A42" s="577"/>
      <c r="B42" s="609"/>
      <c r="C42" s="609"/>
      <c r="D42" s="608"/>
      <c r="I42" s="601"/>
      <c r="J42" s="609"/>
      <c r="K42" s="609"/>
      <c r="L42" s="577"/>
      <c r="M42" s="577"/>
      <c r="N42" s="577"/>
      <c r="O42" s="577"/>
      <c r="P42" s="577"/>
      <c r="Q42" s="577"/>
      <c r="R42" s="577"/>
      <c r="S42" s="577"/>
      <c r="T42" s="577"/>
      <c r="U42" s="577"/>
      <c r="V42" s="577"/>
      <c r="W42" s="577"/>
      <c r="X42" s="577"/>
      <c r="Y42" s="577"/>
      <c r="Z42" s="577"/>
      <c r="AA42" s="577"/>
      <c r="AB42" s="577"/>
    </row>
    <row r="43" ht="12.75" customHeight="1">
      <c r="A43" s="577"/>
      <c r="B43" s="609"/>
      <c r="C43" s="609"/>
      <c r="D43" s="608"/>
      <c r="I43" s="601"/>
      <c r="J43" s="609"/>
      <c r="K43" s="609"/>
      <c r="L43" s="577"/>
      <c r="M43" s="577"/>
      <c r="N43" s="577"/>
      <c r="O43" s="577"/>
      <c r="P43" s="577"/>
      <c r="Q43" s="577"/>
      <c r="R43" s="577"/>
      <c r="S43" s="577"/>
      <c r="T43" s="577"/>
      <c r="U43" s="577"/>
      <c r="V43" s="577"/>
      <c r="W43" s="577"/>
      <c r="X43" s="577"/>
      <c r="Y43" s="577"/>
      <c r="Z43" s="577"/>
      <c r="AA43" s="577"/>
      <c r="AB43" s="577"/>
    </row>
    <row r="44" ht="12.75" customHeight="1">
      <c r="A44" s="577"/>
      <c r="B44" s="609"/>
      <c r="C44" s="609"/>
      <c r="D44" s="610"/>
      <c r="E44" s="603"/>
      <c r="F44" s="603"/>
      <c r="G44" s="603"/>
      <c r="H44" s="603"/>
      <c r="I44" s="604"/>
      <c r="J44" s="609"/>
      <c r="K44" s="609"/>
      <c r="L44" s="577"/>
      <c r="M44" s="577"/>
      <c r="N44" s="577"/>
      <c r="O44" s="577"/>
      <c r="P44" s="577"/>
      <c r="Q44" s="577"/>
      <c r="R44" s="577"/>
      <c r="S44" s="577"/>
      <c r="T44" s="577"/>
      <c r="U44" s="577"/>
      <c r="V44" s="577"/>
      <c r="W44" s="577"/>
      <c r="X44" s="577"/>
      <c r="Y44" s="577"/>
      <c r="Z44" s="577"/>
      <c r="AA44" s="577"/>
      <c r="AB44" s="577"/>
    </row>
    <row r="45" ht="12.75" customHeight="1">
      <c r="A45" s="577"/>
      <c r="B45" s="609"/>
      <c r="C45" s="609"/>
      <c r="D45" s="609"/>
      <c r="E45" s="609"/>
      <c r="F45" s="609"/>
      <c r="G45" s="609"/>
      <c r="H45" s="609"/>
      <c r="I45" s="609"/>
      <c r="J45" s="609"/>
      <c r="K45" s="609"/>
      <c r="L45" s="577"/>
      <c r="M45" s="577"/>
      <c r="N45" s="577"/>
      <c r="O45" s="577"/>
      <c r="P45" s="577"/>
      <c r="Q45" s="577"/>
      <c r="R45" s="577"/>
      <c r="S45" s="577"/>
      <c r="T45" s="577"/>
      <c r="U45" s="577"/>
      <c r="V45" s="577"/>
      <c r="W45" s="577"/>
      <c r="X45" s="577"/>
      <c r="Y45" s="577"/>
      <c r="Z45" s="577"/>
      <c r="AA45" s="577"/>
      <c r="AB45" s="577"/>
    </row>
    <row r="46" ht="12.75" customHeight="1">
      <c r="A46" s="577"/>
      <c r="B46" s="577"/>
      <c r="C46" s="577"/>
      <c r="D46" s="577"/>
      <c r="E46" s="577"/>
      <c r="F46" s="577"/>
      <c r="G46" s="577"/>
      <c r="H46" s="577"/>
      <c r="I46" s="577"/>
      <c r="J46" s="577"/>
      <c r="K46" s="577"/>
      <c r="L46" s="577"/>
      <c r="M46" s="577"/>
      <c r="N46" s="577"/>
      <c r="O46" s="577"/>
      <c r="P46" s="577"/>
      <c r="Q46" s="577"/>
      <c r="R46" s="577"/>
      <c r="S46" s="577"/>
      <c r="T46" s="577"/>
      <c r="U46" s="577"/>
      <c r="V46" s="577"/>
      <c r="W46" s="577"/>
      <c r="X46" s="577"/>
      <c r="Y46" s="577"/>
      <c r="Z46" s="577"/>
      <c r="AA46" s="577"/>
      <c r="AB46" s="577"/>
    </row>
    <row r="47" ht="12.75" customHeight="1">
      <c r="A47" s="577"/>
      <c r="B47" s="577"/>
      <c r="C47" s="577"/>
      <c r="D47" s="577"/>
      <c r="E47" s="577"/>
      <c r="F47" s="577"/>
      <c r="G47" s="577"/>
      <c r="H47" s="577"/>
      <c r="I47" s="577"/>
      <c r="J47" s="577"/>
      <c r="K47" s="577"/>
      <c r="L47" s="577"/>
      <c r="M47" s="577"/>
      <c r="N47" s="577"/>
      <c r="O47" s="577"/>
      <c r="P47" s="577"/>
      <c r="Q47" s="577"/>
      <c r="R47" s="577"/>
      <c r="S47" s="577"/>
      <c r="T47" s="577"/>
      <c r="U47" s="577"/>
      <c r="V47" s="577"/>
      <c r="W47" s="577"/>
      <c r="X47" s="577"/>
      <c r="Y47" s="577"/>
      <c r="Z47" s="577"/>
      <c r="AA47" s="577"/>
      <c r="AB47" s="577"/>
    </row>
    <row r="48" ht="12.75" customHeight="1">
      <c r="A48" s="577"/>
      <c r="B48" s="577"/>
      <c r="C48" s="577"/>
      <c r="D48" s="577"/>
      <c r="E48" s="577"/>
      <c r="F48" s="577"/>
      <c r="G48" s="577"/>
      <c r="H48" s="577"/>
      <c r="I48" s="577"/>
      <c r="J48" s="577"/>
      <c r="K48" s="577"/>
      <c r="L48" s="577"/>
      <c r="M48" s="577"/>
      <c r="N48" s="577"/>
      <c r="O48" s="577"/>
      <c r="P48" s="577"/>
      <c r="Q48" s="577"/>
      <c r="R48" s="577"/>
      <c r="S48" s="577"/>
      <c r="T48" s="577"/>
      <c r="U48" s="577"/>
      <c r="V48" s="577"/>
      <c r="W48" s="577"/>
      <c r="X48" s="577"/>
      <c r="Y48" s="577"/>
      <c r="Z48" s="577"/>
      <c r="AA48" s="577"/>
      <c r="AB48" s="577"/>
    </row>
    <row r="49" ht="12.75" customHeight="1">
      <c r="A49" s="577"/>
      <c r="B49" s="577"/>
      <c r="C49" s="577"/>
      <c r="D49" s="577"/>
      <c r="E49" s="577"/>
      <c r="F49" s="577"/>
      <c r="G49" s="577"/>
      <c r="H49" s="577"/>
      <c r="I49" s="577"/>
      <c r="J49" s="577"/>
      <c r="K49" s="577"/>
      <c r="L49" s="577"/>
      <c r="M49" s="577"/>
      <c r="N49" s="577"/>
      <c r="O49" s="577"/>
      <c r="P49" s="577"/>
      <c r="Q49" s="577"/>
      <c r="R49" s="577"/>
      <c r="S49" s="577"/>
      <c r="T49" s="577"/>
      <c r="U49" s="577"/>
      <c r="V49" s="577"/>
      <c r="W49" s="577"/>
      <c r="X49" s="577"/>
      <c r="Y49" s="577"/>
      <c r="Z49" s="577"/>
      <c r="AA49" s="577"/>
      <c r="AB49" s="577"/>
    </row>
    <row r="50" ht="12.75" customHeight="1">
      <c r="A50" s="577"/>
      <c r="B50" s="577"/>
      <c r="C50" s="577"/>
      <c r="D50" s="577"/>
      <c r="E50" s="577"/>
      <c r="F50" s="577"/>
      <c r="G50" s="577"/>
      <c r="H50" s="577"/>
      <c r="I50" s="577"/>
      <c r="J50" s="577"/>
      <c r="K50" s="577"/>
      <c r="L50" s="577"/>
      <c r="M50" s="577"/>
      <c r="N50" s="577"/>
      <c r="O50" s="577"/>
      <c r="P50" s="577"/>
      <c r="Q50" s="577"/>
      <c r="R50" s="577"/>
      <c r="S50" s="577"/>
      <c r="T50" s="577"/>
      <c r="U50" s="577"/>
      <c r="V50" s="577"/>
      <c r="W50" s="577"/>
      <c r="X50" s="577"/>
      <c r="Y50" s="577"/>
      <c r="Z50" s="577"/>
      <c r="AA50" s="577"/>
      <c r="AB50" s="577"/>
    </row>
    <row r="51" ht="12.75" customHeight="1">
      <c r="A51" s="577"/>
      <c r="B51" s="577"/>
      <c r="C51" s="577"/>
      <c r="D51" s="577"/>
      <c r="E51" s="577"/>
      <c r="F51" s="577"/>
      <c r="G51" s="577"/>
      <c r="H51" s="577"/>
      <c r="I51" s="577"/>
      <c r="J51" s="577"/>
      <c r="K51" s="577"/>
      <c r="L51" s="577"/>
      <c r="M51" s="577"/>
      <c r="N51" s="577"/>
      <c r="O51" s="577"/>
      <c r="P51" s="577"/>
      <c r="Q51" s="577"/>
      <c r="R51" s="577"/>
      <c r="S51" s="577"/>
      <c r="T51" s="577"/>
      <c r="U51" s="577"/>
      <c r="V51" s="577"/>
      <c r="W51" s="577"/>
      <c r="X51" s="577"/>
      <c r="Y51" s="577"/>
      <c r="Z51" s="577"/>
      <c r="AA51" s="577"/>
      <c r="AB51" s="577"/>
    </row>
    <row r="52" ht="12.75" customHeight="1">
      <c r="A52" s="577"/>
      <c r="B52" s="577"/>
      <c r="C52" s="577"/>
      <c r="D52" s="577"/>
      <c r="E52" s="577"/>
      <c r="F52" s="577"/>
      <c r="G52" s="577"/>
      <c r="H52" s="577"/>
      <c r="I52" s="577"/>
      <c r="J52" s="577"/>
      <c r="K52" s="577"/>
      <c r="L52" s="577"/>
      <c r="M52" s="577"/>
      <c r="N52" s="577"/>
      <c r="O52" s="577"/>
      <c r="P52" s="577"/>
      <c r="Q52" s="577"/>
      <c r="R52" s="577"/>
      <c r="S52" s="577"/>
      <c r="T52" s="577"/>
      <c r="U52" s="577"/>
      <c r="V52" s="577"/>
      <c r="W52" s="577"/>
      <c r="X52" s="577"/>
      <c r="Y52" s="577"/>
      <c r="Z52" s="577"/>
      <c r="AA52" s="577"/>
      <c r="AB52" s="577"/>
    </row>
    <row r="53" ht="12.75" customHeight="1">
      <c r="A53" s="577"/>
      <c r="B53" s="577"/>
      <c r="C53" s="577"/>
      <c r="D53" s="577"/>
      <c r="E53" s="577"/>
      <c r="F53" s="577"/>
      <c r="G53" s="577"/>
      <c r="H53" s="577"/>
      <c r="I53" s="577"/>
      <c r="J53" s="577"/>
      <c r="K53" s="577"/>
      <c r="L53" s="577"/>
      <c r="M53" s="577"/>
      <c r="N53" s="577"/>
      <c r="O53" s="577"/>
      <c r="P53" s="577"/>
      <c r="Q53" s="577"/>
      <c r="R53" s="577"/>
      <c r="S53" s="577"/>
      <c r="T53" s="577"/>
      <c r="U53" s="577"/>
      <c r="V53" s="577"/>
      <c r="W53" s="577"/>
      <c r="X53" s="577"/>
      <c r="Y53" s="577"/>
      <c r="Z53" s="577"/>
      <c r="AA53" s="577"/>
      <c r="AB53" s="577"/>
    </row>
    <row r="54" ht="12.75" customHeight="1">
      <c r="A54" s="577"/>
      <c r="B54" s="577"/>
      <c r="C54" s="577"/>
      <c r="D54" s="577"/>
      <c r="E54" s="577"/>
      <c r="F54" s="577"/>
      <c r="G54" s="577"/>
      <c r="H54" s="577"/>
      <c r="I54" s="577"/>
      <c r="J54" s="577"/>
      <c r="K54" s="577"/>
      <c r="L54" s="577"/>
      <c r="M54" s="577"/>
      <c r="N54" s="577"/>
      <c r="O54" s="577"/>
      <c r="P54" s="577"/>
      <c r="Q54" s="577"/>
      <c r="R54" s="577"/>
      <c r="S54" s="577"/>
      <c r="T54" s="577"/>
      <c r="U54" s="577"/>
      <c r="V54" s="577"/>
      <c r="W54" s="577"/>
      <c r="X54" s="577"/>
      <c r="Y54" s="577"/>
      <c r="Z54" s="577"/>
      <c r="AA54" s="577"/>
      <c r="AB54" s="577"/>
    </row>
    <row r="55" ht="12.75" customHeight="1">
      <c r="A55" s="577"/>
      <c r="B55" s="577"/>
      <c r="C55" s="577"/>
      <c r="D55" s="577"/>
      <c r="E55" s="577"/>
      <c r="F55" s="577"/>
      <c r="G55" s="577"/>
      <c r="H55" s="577"/>
      <c r="I55" s="577"/>
      <c r="J55" s="577"/>
      <c r="K55" s="577"/>
      <c r="L55" s="577"/>
      <c r="M55" s="577"/>
      <c r="N55" s="577"/>
      <c r="O55" s="577"/>
      <c r="P55" s="577"/>
      <c r="Q55" s="577"/>
      <c r="R55" s="577"/>
      <c r="S55" s="577"/>
      <c r="T55" s="577"/>
      <c r="U55" s="577"/>
      <c r="V55" s="577"/>
      <c r="W55" s="577"/>
      <c r="X55" s="577"/>
      <c r="Y55" s="577"/>
      <c r="Z55" s="577"/>
      <c r="AA55" s="577"/>
      <c r="AB55" s="577"/>
    </row>
    <row r="56" ht="12.75" customHeight="1">
      <c r="A56" s="577"/>
      <c r="B56" s="577"/>
      <c r="C56" s="577"/>
      <c r="D56" s="577"/>
      <c r="E56" s="577"/>
      <c r="F56" s="577"/>
      <c r="G56" s="577"/>
      <c r="H56" s="577"/>
      <c r="I56" s="577"/>
      <c r="J56" s="577"/>
      <c r="K56" s="577"/>
      <c r="L56" s="577"/>
      <c r="M56" s="577"/>
      <c r="N56" s="577"/>
      <c r="O56" s="577"/>
      <c r="P56" s="577"/>
      <c r="Q56" s="577"/>
      <c r="R56" s="577"/>
      <c r="S56" s="577"/>
      <c r="T56" s="577"/>
      <c r="U56" s="577"/>
      <c r="V56" s="577"/>
      <c r="W56" s="577"/>
      <c r="X56" s="577"/>
      <c r="Y56" s="577"/>
      <c r="Z56" s="577"/>
      <c r="AA56" s="577"/>
      <c r="AB56" s="577"/>
    </row>
    <row r="57" ht="12.75" customHeight="1">
      <c r="A57" s="577"/>
      <c r="B57" s="577"/>
      <c r="C57" s="577"/>
      <c r="D57" s="577"/>
      <c r="E57" s="577"/>
      <c r="F57" s="577"/>
      <c r="G57" s="577"/>
      <c r="H57" s="577"/>
      <c r="I57" s="577"/>
      <c r="J57" s="577"/>
      <c r="K57" s="577"/>
      <c r="L57" s="577"/>
      <c r="M57" s="577"/>
      <c r="N57" s="577"/>
      <c r="O57" s="577"/>
      <c r="P57" s="577"/>
      <c r="Q57" s="577"/>
      <c r="R57" s="577"/>
      <c r="S57" s="577"/>
      <c r="T57" s="577"/>
      <c r="U57" s="577"/>
      <c r="V57" s="577"/>
      <c r="W57" s="577"/>
      <c r="X57" s="577"/>
      <c r="Y57" s="577"/>
      <c r="Z57" s="577"/>
      <c r="AA57" s="577"/>
      <c r="AB57" s="577"/>
    </row>
    <row r="58" ht="12.75" customHeight="1">
      <c r="A58" s="577"/>
      <c r="B58" s="577"/>
      <c r="C58" s="577"/>
      <c r="D58" s="577"/>
      <c r="E58" s="577"/>
      <c r="F58" s="577"/>
      <c r="G58" s="577"/>
      <c r="H58" s="577"/>
      <c r="I58" s="577"/>
      <c r="J58" s="577"/>
      <c r="K58" s="577"/>
      <c r="L58" s="577"/>
      <c r="M58" s="577"/>
      <c r="N58" s="577"/>
      <c r="O58" s="577"/>
      <c r="P58" s="577"/>
      <c r="Q58" s="577"/>
      <c r="R58" s="577"/>
      <c r="S58" s="577"/>
      <c r="T58" s="577"/>
      <c r="U58" s="577"/>
      <c r="V58" s="577"/>
      <c r="W58" s="577"/>
      <c r="X58" s="577"/>
      <c r="Y58" s="577"/>
      <c r="Z58" s="577"/>
      <c r="AA58" s="577"/>
      <c r="AB58" s="577"/>
    </row>
    <row r="59" ht="12.75" customHeight="1">
      <c r="A59" s="577"/>
      <c r="B59" s="577"/>
      <c r="C59" s="577"/>
      <c r="D59" s="577"/>
      <c r="E59" s="577"/>
      <c r="F59" s="577"/>
      <c r="G59" s="577"/>
      <c r="H59" s="577"/>
      <c r="I59" s="577"/>
      <c r="J59" s="577"/>
      <c r="K59" s="577"/>
      <c r="L59" s="577"/>
      <c r="M59" s="577"/>
      <c r="N59" s="577"/>
      <c r="O59" s="577"/>
      <c r="P59" s="577"/>
      <c r="Q59" s="577"/>
      <c r="R59" s="577"/>
      <c r="S59" s="577"/>
      <c r="T59" s="577"/>
      <c r="U59" s="577"/>
      <c r="V59" s="577"/>
      <c r="W59" s="577"/>
      <c r="X59" s="577"/>
      <c r="Y59" s="577"/>
      <c r="Z59" s="577"/>
      <c r="AA59" s="577"/>
      <c r="AB59" s="577"/>
    </row>
    <row r="60" ht="12.75" customHeight="1">
      <c r="A60" s="577"/>
      <c r="B60" s="577"/>
      <c r="C60" s="577"/>
      <c r="D60" s="577"/>
      <c r="E60" s="577"/>
      <c r="F60" s="577"/>
      <c r="G60" s="577"/>
      <c r="H60" s="577"/>
      <c r="I60" s="577"/>
      <c r="J60" s="577"/>
      <c r="K60" s="577"/>
      <c r="L60" s="577"/>
      <c r="M60" s="577"/>
      <c r="N60" s="577"/>
      <c r="O60" s="577"/>
      <c r="P60" s="577"/>
      <c r="Q60" s="577"/>
      <c r="R60" s="577"/>
      <c r="S60" s="577"/>
      <c r="T60" s="577"/>
      <c r="U60" s="577"/>
      <c r="V60" s="577"/>
      <c r="W60" s="577"/>
      <c r="X60" s="577"/>
      <c r="Y60" s="577"/>
      <c r="Z60" s="577"/>
      <c r="AA60" s="577"/>
      <c r="AB60" s="577"/>
    </row>
    <row r="61" ht="12.75" customHeight="1">
      <c r="A61" s="577"/>
      <c r="B61" s="577"/>
      <c r="C61" s="577"/>
      <c r="D61" s="577"/>
      <c r="E61" s="577"/>
      <c r="F61" s="577"/>
      <c r="G61" s="577"/>
      <c r="H61" s="577"/>
      <c r="I61" s="577"/>
      <c r="J61" s="577"/>
      <c r="K61" s="577"/>
      <c r="L61" s="577"/>
      <c r="M61" s="577"/>
      <c r="N61" s="577"/>
      <c r="O61" s="577"/>
      <c r="P61" s="577"/>
      <c r="Q61" s="577"/>
      <c r="R61" s="577"/>
      <c r="S61" s="577"/>
      <c r="T61" s="577"/>
      <c r="U61" s="577"/>
      <c r="V61" s="577"/>
      <c r="W61" s="577"/>
      <c r="X61" s="577"/>
      <c r="Y61" s="577"/>
      <c r="Z61" s="577"/>
      <c r="AA61" s="577"/>
      <c r="AB61" s="577"/>
    </row>
    <row r="62" ht="12.75" customHeight="1">
      <c r="A62" s="577"/>
      <c r="B62" s="577"/>
      <c r="C62" s="577"/>
      <c r="D62" s="577"/>
      <c r="E62" s="577"/>
      <c r="F62" s="577"/>
      <c r="G62" s="577"/>
      <c r="H62" s="577"/>
      <c r="I62" s="577"/>
      <c r="J62" s="577"/>
      <c r="K62" s="577"/>
      <c r="L62" s="577"/>
      <c r="M62" s="577"/>
      <c r="N62" s="577"/>
      <c r="O62" s="577"/>
      <c r="P62" s="577"/>
      <c r="Q62" s="577"/>
      <c r="R62" s="577"/>
      <c r="S62" s="577"/>
      <c r="T62" s="577"/>
      <c r="U62" s="577"/>
      <c r="V62" s="577"/>
      <c r="W62" s="577"/>
      <c r="X62" s="577"/>
      <c r="Y62" s="577"/>
      <c r="Z62" s="577"/>
      <c r="AA62" s="577"/>
      <c r="AB62" s="577"/>
    </row>
    <row r="63" ht="12.75" customHeight="1">
      <c r="A63" s="577"/>
      <c r="B63" s="577"/>
      <c r="C63" s="577"/>
      <c r="D63" s="577"/>
      <c r="E63" s="577"/>
      <c r="F63" s="577"/>
      <c r="G63" s="577"/>
      <c r="H63" s="577"/>
      <c r="I63" s="577"/>
      <c r="J63" s="577"/>
      <c r="K63" s="577"/>
      <c r="L63" s="577"/>
      <c r="M63" s="577"/>
      <c r="N63" s="577"/>
      <c r="O63" s="577"/>
      <c r="P63" s="577"/>
      <c r="Q63" s="577"/>
      <c r="R63" s="577"/>
      <c r="S63" s="577"/>
      <c r="T63" s="577"/>
      <c r="U63" s="577"/>
      <c r="V63" s="577"/>
      <c r="W63" s="577"/>
      <c r="X63" s="577"/>
      <c r="Y63" s="577"/>
      <c r="Z63" s="577"/>
      <c r="AA63" s="577"/>
      <c r="AB63" s="577"/>
    </row>
    <row r="64" ht="12.75" customHeight="1">
      <c r="A64" s="577"/>
      <c r="B64" s="577"/>
      <c r="C64" s="577"/>
      <c r="D64" s="577"/>
      <c r="E64" s="577"/>
      <c r="F64" s="577"/>
      <c r="G64" s="577"/>
      <c r="H64" s="577"/>
      <c r="I64" s="577"/>
      <c r="J64" s="577"/>
      <c r="K64" s="577"/>
      <c r="L64" s="577"/>
      <c r="M64" s="577"/>
      <c r="N64" s="577"/>
      <c r="O64" s="577"/>
      <c r="P64" s="577"/>
      <c r="Q64" s="577"/>
      <c r="R64" s="577"/>
      <c r="S64" s="577"/>
      <c r="T64" s="577"/>
      <c r="U64" s="577"/>
      <c r="V64" s="577"/>
      <c r="W64" s="577"/>
      <c r="X64" s="577"/>
      <c r="Y64" s="577"/>
      <c r="Z64" s="577"/>
      <c r="AA64" s="577"/>
      <c r="AB64" s="577"/>
    </row>
    <row r="65" ht="12.75" customHeight="1">
      <c r="A65" s="577"/>
      <c r="B65" s="577"/>
      <c r="C65" s="577"/>
      <c r="D65" s="577"/>
      <c r="E65" s="577"/>
      <c r="F65" s="577"/>
      <c r="G65" s="577"/>
      <c r="H65" s="577"/>
      <c r="I65" s="577"/>
      <c r="J65" s="577"/>
      <c r="K65" s="577"/>
      <c r="L65" s="577"/>
      <c r="M65" s="577"/>
      <c r="N65" s="577"/>
      <c r="O65" s="577"/>
      <c r="P65" s="577"/>
      <c r="Q65" s="577"/>
      <c r="R65" s="577"/>
      <c r="S65" s="577"/>
      <c r="T65" s="577"/>
      <c r="U65" s="577"/>
      <c r="V65" s="577"/>
      <c r="W65" s="577"/>
      <c r="X65" s="577"/>
      <c r="Y65" s="577"/>
      <c r="Z65" s="577"/>
      <c r="AA65" s="577"/>
      <c r="AB65" s="577"/>
    </row>
    <row r="66" ht="12.75" customHeight="1">
      <c r="A66" s="577"/>
      <c r="B66" s="577"/>
      <c r="C66" s="577"/>
      <c r="D66" s="577"/>
      <c r="E66" s="577"/>
      <c r="F66" s="577"/>
      <c r="G66" s="577"/>
      <c r="H66" s="577"/>
      <c r="I66" s="577"/>
      <c r="J66" s="577"/>
      <c r="K66" s="577"/>
      <c r="L66" s="577"/>
      <c r="M66" s="577"/>
      <c r="N66" s="577"/>
      <c r="O66" s="577"/>
      <c r="P66" s="577"/>
      <c r="Q66" s="577"/>
      <c r="R66" s="577"/>
      <c r="S66" s="577"/>
      <c r="T66" s="577"/>
      <c r="U66" s="577"/>
      <c r="V66" s="577"/>
      <c r="W66" s="577"/>
      <c r="X66" s="577"/>
      <c r="Y66" s="577"/>
      <c r="Z66" s="577"/>
      <c r="AA66" s="577"/>
      <c r="AB66" s="577"/>
    </row>
    <row r="67" ht="12.75" customHeight="1">
      <c r="A67" s="577"/>
      <c r="B67" s="577"/>
      <c r="C67" s="577"/>
      <c r="D67" s="577"/>
      <c r="E67" s="577"/>
      <c r="F67" s="577"/>
      <c r="G67" s="577"/>
      <c r="H67" s="577"/>
      <c r="I67" s="577"/>
      <c r="J67" s="577"/>
      <c r="K67" s="577"/>
      <c r="L67" s="577"/>
      <c r="M67" s="577"/>
      <c r="N67" s="577"/>
      <c r="O67" s="577"/>
      <c r="P67" s="577"/>
      <c r="Q67" s="577"/>
      <c r="R67" s="577"/>
      <c r="S67" s="577"/>
      <c r="T67" s="577"/>
      <c r="U67" s="577"/>
      <c r="V67" s="577"/>
      <c r="W67" s="577"/>
      <c r="X67" s="577"/>
      <c r="Y67" s="577"/>
      <c r="Z67" s="577"/>
      <c r="AA67" s="577"/>
      <c r="AB67" s="577"/>
    </row>
    <row r="68" ht="12.75" customHeight="1">
      <c r="A68" s="577"/>
      <c r="B68" s="577"/>
      <c r="C68" s="577"/>
      <c r="D68" s="577"/>
      <c r="E68" s="577"/>
      <c r="F68" s="577"/>
      <c r="G68" s="577"/>
      <c r="H68" s="577"/>
      <c r="I68" s="577"/>
      <c r="J68" s="577"/>
      <c r="K68" s="577"/>
      <c r="L68" s="577"/>
      <c r="M68" s="577"/>
      <c r="N68" s="577"/>
      <c r="O68" s="577"/>
      <c r="P68" s="577"/>
      <c r="Q68" s="577"/>
      <c r="R68" s="577"/>
      <c r="S68" s="577"/>
      <c r="T68" s="577"/>
      <c r="U68" s="577"/>
      <c r="V68" s="577"/>
      <c r="W68" s="577"/>
      <c r="X68" s="577"/>
      <c r="Y68" s="577"/>
      <c r="Z68" s="577"/>
      <c r="AA68" s="577"/>
      <c r="AB68" s="577"/>
    </row>
    <row r="69" ht="12.75" customHeight="1">
      <c r="A69" s="577"/>
      <c r="B69" s="577"/>
      <c r="C69" s="577"/>
      <c r="D69" s="577"/>
      <c r="E69" s="577"/>
      <c r="F69" s="577"/>
      <c r="G69" s="577"/>
      <c r="H69" s="577"/>
      <c r="I69" s="577"/>
      <c r="J69" s="577"/>
      <c r="K69" s="577"/>
      <c r="L69" s="577"/>
      <c r="M69" s="577"/>
      <c r="N69" s="577"/>
      <c r="O69" s="577"/>
      <c r="P69" s="577"/>
      <c r="Q69" s="577"/>
      <c r="R69" s="577"/>
      <c r="S69" s="577"/>
      <c r="T69" s="577"/>
      <c r="U69" s="577"/>
      <c r="V69" s="577"/>
      <c r="W69" s="577"/>
      <c r="X69" s="577"/>
      <c r="Y69" s="577"/>
      <c r="Z69" s="577"/>
      <c r="AA69" s="577"/>
      <c r="AB69" s="577"/>
    </row>
    <row r="70" ht="12.75" customHeight="1">
      <c r="A70" s="577"/>
      <c r="B70" s="577"/>
      <c r="C70" s="577"/>
      <c r="D70" s="577"/>
      <c r="E70" s="577"/>
      <c r="F70" s="577"/>
      <c r="G70" s="577"/>
      <c r="H70" s="577"/>
      <c r="I70" s="577"/>
      <c r="J70" s="577"/>
      <c r="K70" s="577"/>
      <c r="L70" s="577"/>
      <c r="M70" s="577"/>
      <c r="N70" s="577"/>
      <c r="O70" s="577"/>
      <c r="P70" s="577"/>
      <c r="Q70" s="577"/>
      <c r="R70" s="577"/>
      <c r="S70" s="577"/>
      <c r="T70" s="577"/>
      <c r="U70" s="577"/>
      <c r="V70" s="577"/>
      <c r="W70" s="577"/>
      <c r="X70" s="577"/>
      <c r="Y70" s="577"/>
      <c r="Z70" s="577"/>
      <c r="AA70" s="577"/>
      <c r="AB70" s="577"/>
    </row>
    <row r="71" ht="12.75" customHeight="1">
      <c r="A71" s="577"/>
      <c r="B71" s="577"/>
      <c r="C71" s="577"/>
      <c r="D71" s="577"/>
      <c r="E71" s="577"/>
      <c r="F71" s="577"/>
      <c r="G71" s="577"/>
      <c r="H71" s="577"/>
      <c r="I71" s="577"/>
      <c r="J71" s="577"/>
      <c r="K71" s="577"/>
      <c r="L71" s="577"/>
      <c r="M71" s="577"/>
      <c r="N71" s="577"/>
      <c r="O71" s="577"/>
      <c r="P71" s="577"/>
      <c r="Q71" s="577"/>
      <c r="R71" s="577"/>
      <c r="S71" s="577"/>
      <c r="T71" s="577"/>
      <c r="U71" s="577"/>
      <c r="V71" s="577"/>
      <c r="W71" s="577"/>
      <c r="X71" s="577"/>
      <c r="Y71" s="577"/>
      <c r="Z71" s="577"/>
      <c r="AA71" s="577"/>
      <c r="AB71" s="577"/>
    </row>
    <row r="72" ht="12.75" customHeight="1">
      <c r="A72" s="577"/>
      <c r="B72" s="577"/>
      <c r="C72" s="577"/>
      <c r="D72" s="577"/>
      <c r="E72" s="577"/>
      <c r="F72" s="577"/>
      <c r="G72" s="577"/>
      <c r="H72" s="577"/>
      <c r="I72" s="577"/>
      <c r="J72" s="577"/>
      <c r="K72" s="577"/>
      <c r="L72" s="577"/>
      <c r="M72" s="577"/>
      <c r="N72" s="577"/>
      <c r="O72" s="577"/>
      <c r="P72" s="577"/>
      <c r="Q72" s="577"/>
      <c r="R72" s="577"/>
      <c r="S72" s="577"/>
      <c r="T72" s="577"/>
      <c r="U72" s="577"/>
      <c r="V72" s="577"/>
      <c r="W72" s="577"/>
      <c r="X72" s="577"/>
      <c r="Y72" s="577"/>
      <c r="Z72" s="577"/>
      <c r="AA72" s="577"/>
      <c r="AB72" s="577"/>
    </row>
    <row r="73" ht="12.75" customHeight="1">
      <c r="A73" s="577"/>
      <c r="B73" s="577"/>
      <c r="C73" s="577"/>
      <c r="D73" s="577"/>
      <c r="E73" s="577"/>
      <c r="F73" s="577"/>
      <c r="G73" s="577"/>
      <c r="H73" s="577"/>
      <c r="I73" s="577"/>
      <c r="J73" s="577"/>
      <c r="K73" s="577"/>
      <c r="L73" s="577"/>
      <c r="M73" s="577"/>
      <c r="N73" s="577"/>
      <c r="O73" s="577"/>
      <c r="P73" s="577"/>
      <c r="Q73" s="577"/>
      <c r="R73" s="577"/>
      <c r="S73" s="577"/>
      <c r="T73" s="577"/>
      <c r="U73" s="577"/>
      <c r="V73" s="577"/>
      <c r="W73" s="577"/>
      <c r="X73" s="577"/>
      <c r="Y73" s="577"/>
      <c r="Z73" s="577"/>
      <c r="AA73" s="577"/>
      <c r="AB73" s="577"/>
    </row>
    <row r="74" ht="12.75" customHeight="1">
      <c r="A74" s="577"/>
      <c r="B74" s="577"/>
      <c r="C74" s="577"/>
      <c r="D74" s="577"/>
      <c r="E74" s="577"/>
      <c r="F74" s="577"/>
      <c r="G74" s="577"/>
      <c r="H74" s="577"/>
      <c r="I74" s="577"/>
      <c r="J74" s="577"/>
      <c r="K74" s="577"/>
      <c r="L74" s="577"/>
      <c r="M74" s="577"/>
      <c r="N74" s="577"/>
      <c r="O74" s="577"/>
      <c r="P74" s="577"/>
      <c r="Q74" s="577"/>
      <c r="R74" s="577"/>
      <c r="S74" s="577"/>
      <c r="T74" s="577"/>
      <c r="U74" s="577"/>
      <c r="V74" s="577"/>
      <c r="W74" s="577"/>
      <c r="X74" s="577"/>
      <c r="Y74" s="577"/>
      <c r="Z74" s="577"/>
      <c r="AA74" s="577"/>
      <c r="AB74" s="577"/>
    </row>
    <row r="75" ht="12.75" customHeight="1">
      <c r="A75" s="577"/>
      <c r="B75" s="577"/>
      <c r="C75" s="577"/>
      <c r="D75" s="577"/>
      <c r="E75" s="577"/>
      <c r="F75" s="577"/>
      <c r="G75" s="577"/>
      <c r="H75" s="577"/>
      <c r="I75" s="577"/>
      <c r="J75" s="577"/>
      <c r="K75" s="577"/>
      <c r="L75" s="577"/>
      <c r="M75" s="577"/>
      <c r="N75" s="577"/>
      <c r="O75" s="577"/>
      <c r="P75" s="577"/>
      <c r="Q75" s="577"/>
      <c r="R75" s="577"/>
      <c r="S75" s="577"/>
      <c r="T75" s="577"/>
      <c r="U75" s="577"/>
      <c r="V75" s="577"/>
      <c r="W75" s="577"/>
      <c r="X75" s="577"/>
      <c r="Y75" s="577"/>
      <c r="Z75" s="577"/>
      <c r="AA75" s="577"/>
      <c r="AB75" s="577"/>
    </row>
    <row r="76" ht="12.75" customHeight="1">
      <c r="A76" s="577"/>
      <c r="B76" s="577"/>
      <c r="C76" s="577"/>
      <c r="D76" s="577"/>
      <c r="E76" s="577"/>
      <c r="F76" s="577"/>
      <c r="G76" s="577"/>
      <c r="H76" s="577"/>
      <c r="I76" s="577"/>
      <c r="J76" s="577"/>
      <c r="K76" s="577"/>
      <c r="L76" s="577"/>
      <c r="M76" s="577"/>
      <c r="N76" s="577"/>
      <c r="O76" s="577"/>
      <c r="P76" s="577"/>
      <c r="Q76" s="577"/>
      <c r="R76" s="577"/>
      <c r="S76" s="577"/>
      <c r="T76" s="577"/>
      <c r="U76" s="577"/>
      <c r="V76" s="577"/>
      <c r="W76" s="577"/>
      <c r="X76" s="577"/>
      <c r="Y76" s="577"/>
      <c r="Z76" s="577"/>
      <c r="AA76" s="577"/>
      <c r="AB76" s="577"/>
    </row>
    <row r="77" ht="12.75" customHeight="1">
      <c r="A77" s="577"/>
      <c r="B77" s="577"/>
      <c r="C77" s="577"/>
      <c r="D77" s="577"/>
      <c r="E77" s="577"/>
      <c r="F77" s="577"/>
      <c r="G77" s="577"/>
      <c r="H77" s="577"/>
      <c r="I77" s="577"/>
      <c r="J77" s="577"/>
      <c r="K77" s="577"/>
      <c r="L77" s="577"/>
      <c r="M77" s="577"/>
      <c r="N77" s="577"/>
      <c r="O77" s="577"/>
      <c r="P77" s="577"/>
      <c r="Q77" s="577"/>
      <c r="R77" s="577"/>
      <c r="S77" s="577"/>
      <c r="T77" s="577"/>
      <c r="U77" s="577"/>
      <c r="V77" s="577"/>
      <c r="W77" s="577"/>
      <c r="X77" s="577"/>
      <c r="Y77" s="577"/>
      <c r="Z77" s="577"/>
      <c r="AA77" s="577"/>
      <c r="AB77" s="577"/>
    </row>
    <row r="78" ht="12.75" customHeight="1">
      <c r="A78" s="577"/>
      <c r="B78" s="577"/>
      <c r="C78" s="577"/>
      <c r="D78" s="577"/>
      <c r="E78" s="577"/>
      <c r="F78" s="577"/>
      <c r="G78" s="577"/>
      <c r="H78" s="577"/>
      <c r="I78" s="577"/>
      <c r="J78" s="577"/>
      <c r="K78" s="577"/>
      <c r="L78" s="577"/>
      <c r="M78" s="577"/>
      <c r="N78" s="577"/>
      <c r="O78" s="577"/>
      <c r="P78" s="577"/>
      <c r="Q78" s="577"/>
      <c r="R78" s="577"/>
      <c r="S78" s="577"/>
      <c r="T78" s="577"/>
      <c r="U78" s="577"/>
      <c r="V78" s="577"/>
      <c r="W78" s="577"/>
      <c r="X78" s="577"/>
      <c r="Y78" s="577"/>
      <c r="Z78" s="577"/>
      <c r="AA78" s="577"/>
      <c r="AB78" s="577"/>
    </row>
    <row r="79" ht="12.75" customHeight="1">
      <c r="A79" s="577"/>
      <c r="B79" s="577"/>
      <c r="C79" s="577"/>
      <c r="D79" s="577"/>
      <c r="E79" s="577"/>
      <c r="F79" s="577"/>
      <c r="G79" s="577"/>
      <c r="H79" s="577"/>
      <c r="I79" s="577"/>
      <c r="J79" s="577"/>
      <c r="K79" s="577"/>
      <c r="L79" s="577"/>
      <c r="M79" s="577"/>
      <c r="N79" s="577"/>
      <c r="O79" s="577"/>
      <c r="P79" s="577"/>
      <c r="Q79" s="577"/>
      <c r="R79" s="577"/>
      <c r="S79" s="577"/>
      <c r="T79" s="577"/>
      <c r="U79" s="577"/>
      <c r="V79" s="577"/>
      <c r="W79" s="577"/>
      <c r="X79" s="577"/>
      <c r="Y79" s="577"/>
      <c r="Z79" s="577"/>
      <c r="AA79" s="577"/>
      <c r="AB79" s="577"/>
    </row>
    <row r="80" ht="12.75" customHeight="1">
      <c r="A80" s="577"/>
      <c r="B80" s="577"/>
      <c r="C80" s="577"/>
      <c r="D80" s="577"/>
      <c r="E80" s="577"/>
      <c r="F80" s="577"/>
      <c r="G80" s="577"/>
      <c r="H80" s="577"/>
      <c r="I80" s="577"/>
      <c r="J80" s="577"/>
      <c r="K80" s="577"/>
      <c r="L80" s="577"/>
      <c r="M80" s="577"/>
      <c r="N80" s="577"/>
      <c r="O80" s="577"/>
      <c r="P80" s="577"/>
      <c r="Q80" s="577"/>
      <c r="R80" s="577"/>
      <c r="S80" s="577"/>
      <c r="T80" s="577"/>
      <c r="U80" s="577"/>
      <c r="V80" s="577"/>
      <c r="W80" s="577"/>
      <c r="X80" s="577"/>
      <c r="Y80" s="577"/>
      <c r="Z80" s="577"/>
      <c r="AA80" s="577"/>
      <c r="AB80" s="577"/>
    </row>
    <row r="81" ht="12.75" customHeight="1">
      <c r="A81" s="577"/>
      <c r="B81" s="577"/>
      <c r="C81" s="577"/>
      <c r="D81" s="577"/>
      <c r="E81" s="577"/>
      <c r="F81" s="577"/>
      <c r="G81" s="577"/>
      <c r="H81" s="577"/>
      <c r="I81" s="577"/>
      <c r="J81" s="577"/>
      <c r="K81" s="577"/>
      <c r="L81" s="577"/>
      <c r="M81" s="577"/>
      <c r="N81" s="577"/>
      <c r="O81" s="577"/>
      <c r="P81" s="577"/>
      <c r="Q81" s="577"/>
      <c r="R81" s="577"/>
      <c r="S81" s="577"/>
      <c r="T81" s="577"/>
      <c r="U81" s="577"/>
      <c r="V81" s="577"/>
      <c r="W81" s="577"/>
      <c r="X81" s="577"/>
      <c r="Y81" s="577"/>
      <c r="Z81" s="577"/>
      <c r="AA81" s="577"/>
      <c r="AB81" s="577"/>
    </row>
    <row r="82" ht="12.75" customHeight="1">
      <c r="A82" s="577"/>
      <c r="B82" s="577"/>
      <c r="C82" s="577"/>
      <c r="D82" s="577"/>
      <c r="E82" s="577"/>
      <c r="F82" s="577"/>
      <c r="G82" s="577"/>
      <c r="H82" s="577"/>
      <c r="I82" s="577"/>
      <c r="J82" s="577"/>
      <c r="K82" s="577"/>
      <c r="L82" s="577"/>
      <c r="M82" s="577"/>
      <c r="N82" s="577"/>
      <c r="O82" s="577"/>
      <c r="P82" s="577"/>
      <c r="Q82" s="577"/>
      <c r="R82" s="577"/>
      <c r="S82" s="577"/>
      <c r="T82" s="577"/>
      <c r="U82" s="577"/>
      <c r="V82" s="577"/>
      <c r="W82" s="577"/>
      <c r="X82" s="577"/>
      <c r="Y82" s="577"/>
      <c r="Z82" s="577"/>
      <c r="AA82" s="577"/>
      <c r="AB82" s="577"/>
    </row>
    <row r="83" ht="12.75" customHeight="1">
      <c r="A83" s="577"/>
      <c r="B83" s="577"/>
      <c r="C83" s="577"/>
      <c r="D83" s="577"/>
      <c r="E83" s="577"/>
      <c r="F83" s="577"/>
      <c r="G83" s="577"/>
      <c r="H83" s="577"/>
      <c r="I83" s="577"/>
      <c r="J83" s="577"/>
      <c r="K83" s="577"/>
      <c r="L83" s="577"/>
      <c r="M83" s="577"/>
      <c r="N83" s="577"/>
      <c r="O83" s="577"/>
      <c r="P83" s="577"/>
      <c r="Q83" s="577"/>
      <c r="R83" s="577"/>
      <c r="S83" s="577"/>
      <c r="T83" s="577"/>
      <c r="U83" s="577"/>
      <c r="V83" s="577"/>
      <c r="W83" s="577"/>
      <c r="X83" s="577"/>
      <c r="Y83" s="577"/>
      <c r="Z83" s="577"/>
      <c r="AA83" s="577"/>
      <c r="AB83" s="577"/>
    </row>
    <row r="84" ht="12.75" customHeight="1">
      <c r="A84" s="577"/>
      <c r="B84" s="577"/>
      <c r="C84" s="577"/>
      <c r="D84" s="577"/>
      <c r="E84" s="577"/>
      <c r="F84" s="577"/>
      <c r="G84" s="577"/>
      <c r="H84" s="577"/>
      <c r="I84" s="577"/>
      <c r="J84" s="577"/>
      <c r="K84" s="577"/>
      <c r="L84" s="577"/>
      <c r="M84" s="577"/>
      <c r="N84" s="577"/>
      <c r="O84" s="577"/>
      <c r="P84" s="577"/>
      <c r="Q84" s="577"/>
      <c r="R84" s="577"/>
      <c r="S84" s="577"/>
      <c r="T84" s="577"/>
      <c r="U84" s="577"/>
      <c r="V84" s="577"/>
      <c r="W84" s="577"/>
      <c r="X84" s="577"/>
      <c r="Y84" s="577"/>
      <c r="Z84" s="577"/>
      <c r="AA84" s="577"/>
      <c r="AB84" s="577"/>
    </row>
    <row r="85" ht="12.75" customHeight="1">
      <c r="A85" s="577"/>
      <c r="B85" s="577"/>
      <c r="C85" s="577"/>
      <c r="D85" s="577"/>
      <c r="E85" s="577"/>
      <c r="F85" s="577"/>
      <c r="G85" s="577"/>
      <c r="H85" s="577"/>
      <c r="I85" s="577"/>
      <c r="J85" s="577"/>
      <c r="K85" s="577"/>
      <c r="L85" s="577"/>
      <c r="M85" s="577"/>
      <c r="N85" s="577"/>
      <c r="O85" s="577"/>
      <c r="P85" s="577"/>
      <c r="Q85" s="577"/>
      <c r="R85" s="577"/>
      <c r="S85" s="577"/>
      <c r="T85" s="577"/>
      <c r="U85" s="577"/>
      <c r="V85" s="577"/>
      <c r="W85" s="577"/>
      <c r="X85" s="577"/>
      <c r="Y85" s="577"/>
      <c r="Z85" s="577"/>
      <c r="AA85" s="577"/>
      <c r="AB85" s="577"/>
    </row>
    <row r="86" ht="12.75" customHeight="1">
      <c r="A86" s="577"/>
      <c r="B86" s="577"/>
      <c r="C86" s="577"/>
      <c r="D86" s="577"/>
      <c r="E86" s="577"/>
      <c r="F86" s="577"/>
      <c r="G86" s="577"/>
      <c r="H86" s="577"/>
      <c r="I86" s="577"/>
      <c r="J86" s="577"/>
      <c r="K86" s="577"/>
      <c r="L86" s="577"/>
      <c r="M86" s="577"/>
      <c r="N86" s="577"/>
      <c r="O86" s="577"/>
      <c r="P86" s="577"/>
      <c r="Q86" s="577"/>
      <c r="R86" s="577"/>
      <c r="S86" s="577"/>
      <c r="T86" s="577"/>
      <c r="U86" s="577"/>
      <c r="V86" s="577"/>
      <c r="W86" s="577"/>
      <c r="X86" s="577"/>
      <c r="Y86" s="577"/>
      <c r="Z86" s="577"/>
      <c r="AA86" s="577"/>
      <c r="AB86" s="577"/>
    </row>
    <row r="87" ht="12.75" customHeight="1">
      <c r="A87" s="577"/>
      <c r="B87" s="577"/>
      <c r="C87" s="577"/>
      <c r="D87" s="577"/>
      <c r="E87" s="577"/>
      <c r="F87" s="577"/>
      <c r="G87" s="577"/>
      <c r="H87" s="577"/>
      <c r="I87" s="577"/>
      <c r="J87" s="577"/>
      <c r="K87" s="577"/>
      <c r="L87" s="577"/>
      <c r="M87" s="577"/>
      <c r="N87" s="577"/>
      <c r="O87" s="577"/>
      <c r="P87" s="577"/>
      <c r="Q87" s="577"/>
      <c r="R87" s="577"/>
      <c r="S87" s="577"/>
      <c r="T87" s="577"/>
      <c r="U87" s="577"/>
      <c r="V87" s="577"/>
      <c r="W87" s="577"/>
      <c r="X87" s="577"/>
      <c r="Y87" s="577"/>
      <c r="Z87" s="577"/>
      <c r="AA87" s="577"/>
      <c r="AB87" s="577"/>
    </row>
    <row r="88" ht="12.75" customHeight="1">
      <c r="A88" s="577"/>
      <c r="B88" s="577"/>
      <c r="C88" s="577"/>
      <c r="D88" s="577"/>
      <c r="E88" s="577"/>
      <c r="F88" s="577"/>
      <c r="G88" s="577"/>
      <c r="H88" s="577"/>
      <c r="I88" s="577"/>
      <c r="J88" s="577"/>
      <c r="K88" s="577"/>
      <c r="L88" s="577"/>
      <c r="M88" s="577"/>
      <c r="N88" s="577"/>
      <c r="O88" s="577"/>
      <c r="P88" s="577"/>
      <c r="Q88" s="577"/>
      <c r="R88" s="577"/>
      <c r="S88" s="577"/>
      <c r="T88" s="577"/>
      <c r="U88" s="577"/>
      <c r="V88" s="577"/>
      <c r="W88" s="577"/>
      <c r="X88" s="577"/>
      <c r="Y88" s="577"/>
      <c r="Z88" s="577"/>
      <c r="AA88" s="577"/>
      <c r="AB88" s="577"/>
    </row>
    <row r="89" ht="12.75" customHeight="1">
      <c r="A89" s="577"/>
      <c r="B89" s="577"/>
      <c r="C89" s="577"/>
      <c r="D89" s="577"/>
      <c r="E89" s="577"/>
      <c r="F89" s="577"/>
      <c r="G89" s="577"/>
      <c r="H89" s="577"/>
      <c r="I89" s="577"/>
      <c r="J89" s="577"/>
      <c r="K89" s="577"/>
      <c r="L89" s="577"/>
      <c r="M89" s="577"/>
      <c r="N89" s="577"/>
      <c r="O89" s="577"/>
      <c r="P89" s="577"/>
      <c r="Q89" s="577"/>
      <c r="R89" s="577"/>
      <c r="S89" s="577"/>
      <c r="T89" s="577"/>
      <c r="U89" s="577"/>
      <c r="V89" s="577"/>
      <c r="W89" s="577"/>
      <c r="X89" s="577"/>
      <c r="Y89" s="577"/>
      <c r="Z89" s="577"/>
      <c r="AA89" s="577"/>
      <c r="AB89" s="577"/>
    </row>
    <row r="90" ht="12.75" customHeight="1">
      <c r="A90" s="577"/>
      <c r="B90" s="577"/>
      <c r="C90" s="577"/>
      <c r="D90" s="577"/>
      <c r="E90" s="577"/>
      <c r="F90" s="577"/>
      <c r="G90" s="577"/>
      <c r="H90" s="577"/>
      <c r="I90" s="577"/>
      <c r="J90" s="577"/>
      <c r="K90" s="577"/>
      <c r="L90" s="577"/>
      <c r="M90" s="577"/>
      <c r="N90" s="577"/>
      <c r="O90" s="577"/>
      <c r="P90" s="577"/>
      <c r="Q90" s="577"/>
      <c r="R90" s="577"/>
      <c r="S90" s="577"/>
      <c r="T90" s="577"/>
      <c r="U90" s="577"/>
      <c r="V90" s="577"/>
      <c r="W90" s="577"/>
      <c r="X90" s="577"/>
      <c r="Y90" s="577"/>
      <c r="Z90" s="577"/>
      <c r="AA90" s="577"/>
      <c r="AB90" s="577"/>
    </row>
    <row r="91" ht="12.75" customHeight="1">
      <c r="A91" s="577"/>
      <c r="B91" s="577"/>
      <c r="C91" s="577"/>
      <c r="D91" s="577"/>
      <c r="E91" s="577"/>
      <c r="F91" s="577"/>
      <c r="G91" s="577"/>
      <c r="H91" s="577"/>
      <c r="I91" s="577"/>
      <c r="J91" s="577"/>
      <c r="K91" s="577"/>
      <c r="L91" s="577"/>
      <c r="M91" s="577"/>
      <c r="N91" s="577"/>
      <c r="O91" s="577"/>
      <c r="P91" s="577"/>
      <c r="Q91" s="577"/>
      <c r="R91" s="577"/>
      <c r="S91" s="577"/>
      <c r="T91" s="577"/>
      <c r="U91" s="577"/>
      <c r="V91" s="577"/>
      <c r="W91" s="577"/>
      <c r="X91" s="577"/>
      <c r="Y91" s="577"/>
      <c r="Z91" s="577"/>
      <c r="AA91" s="577"/>
      <c r="AB91" s="577"/>
    </row>
    <row r="92" ht="12.75" customHeight="1">
      <c r="A92" s="577"/>
      <c r="B92" s="577"/>
      <c r="C92" s="577"/>
      <c r="D92" s="577"/>
      <c r="E92" s="577"/>
      <c r="F92" s="577"/>
      <c r="G92" s="577"/>
      <c r="H92" s="577"/>
      <c r="I92" s="577"/>
      <c r="J92" s="577"/>
      <c r="K92" s="577"/>
      <c r="L92" s="577"/>
      <c r="M92" s="577"/>
      <c r="N92" s="577"/>
      <c r="O92" s="577"/>
      <c r="P92" s="577"/>
      <c r="Q92" s="577"/>
      <c r="R92" s="577"/>
      <c r="S92" s="577"/>
      <c r="T92" s="577"/>
      <c r="U92" s="577"/>
      <c r="V92" s="577"/>
      <c r="W92" s="577"/>
      <c r="X92" s="577"/>
      <c r="Y92" s="577"/>
      <c r="Z92" s="577"/>
      <c r="AA92" s="577"/>
      <c r="AB92" s="577"/>
    </row>
    <row r="93" ht="12.75" customHeight="1">
      <c r="A93" s="577"/>
      <c r="B93" s="577"/>
      <c r="C93" s="577"/>
      <c r="D93" s="577"/>
      <c r="E93" s="577"/>
      <c r="F93" s="577"/>
      <c r="G93" s="577"/>
      <c r="H93" s="577"/>
      <c r="I93" s="577"/>
      <c r="J93" s="577"/>
      <c r="K93" s="577"/>
      <c r="L93" s="577"/>
      <c r="M93" s="577"/>
      <c r="N93" s="577"/>
      <c r="O93" s="577"/>
      <c r="P93" s="577"/>
      <c r="Q93" s="577"/>
      <c r="R93" s="577"/>
      <c r="S93" s="577"/>
      <c r="T93" s="577"/>
      <c r="U93" s="577"/>
      <c r="V93" s="577"/>
      <c r="W93" s="577"/>
      <c r="X93" s="577"/>
      <c r="Y93" s="577"/>
      <c r="Z93" s="577"/>
      <c r="AA93" s="577"/>
      <c r="AB93" s="577"/>
    </row>
    <row r="94" ht="12.75" customHeight="1">
      <c r="A94" s="577"/>
      <c r="B94" s="577"/>
      <c r="C94" s="577"/>
      <c r="D94" s="577"/>
      <c r="E94" s="577"/>
      <c r="F94" s="577"/>
      <c r="G94" s="577"/>
      <c r="H94" s="577"/>
      <c r="I94" s="577"/>
      <c r="J94" s="577"/>
      <c r="K94" s="577"/>
      <c r="L94" s="577"/>
      <c r="M94" s="577"/>
      <c r="N94" s="577"/>
      <c r="O94" s="577"/>
      <c r="P94" s="577"/>
      <c r="Q94" s="577"/>
      <c r="R94" s="577"/>
      <c r="S94" s="577"/>
      <c r="T94" s="577"/>
      <c r="U94" s="577"/>
      <c r="V94" s="577"/>
      <c r="W94" s="577"/>
      <c r="X94" s="577"/>
      <c r="Y94" s="577"/>
      <c r="Z94" s="577"/>
      <c r="AA94" s="577"/>
      <c r="AB94" s="577"/>
    </row>
    <row r="95" ht="12.75" customHeight="1">
      <c r="A95" s="577"/>
      <c r="B95" s="577"/>
      <c r="C95" s="577"/>
      <c r="D95" s="577"/>
      <c r="E95" s="577"/>
      <c r="F95" s="577"/>
      <c r="G95" s="577"/>
      <c r="H95" s="577"/>
      <c r="I95" s="577"/>
      <c r="J95" s="577"/>
      <c r="K95" s="577"/>
      <c r="L95" s="577"/>
      <c r="M95" s="577"/>
      <c r="N95" s="577"/>
      <c r="O95" s="577"/>
      <c r="P95" s="577"/>
      <c r="Q95" s="577"/>
      <c r="R95" s="577"/>
      <c r="S95" s="577"/>
      <c r="T95" s="577"/>
      <c r="U95" s="577"/>
      <c r="V95" s="577"/>
      <c r="W95" s="577"/>
      <c r="X95" s="577"/>
      <c r="Y95" s="577"/>
      <c r="Z95" s="577"/>
      <c r="AA95" s="577"/>
      <c r="AB95" s="577"/>
    </row>
    <row r="96" ht="12.75" customHeight="1">
      <c r="A96" s="577"/>
      <c r="B96" s="577"/>
      <c r="C96" s="577"/>
      <c r="D96" s="577"/>
      <c r="E96" s="577"/>
      <c r="F96" s="577"/>
      <c r="G96" s="577"/>
      <c r="H96" s="577"/>
      <c r="I96" s="577"/>
      <c r="J96" s="577"/>
      <c r="K96" s="577"/>
      <c r="L96" s="577"/>
      <c r="M96" s="577"/>
      <c r="N96" s="577"/>
      <c r="O96" s="577"/>
      <c r="P96" s="577"/>
      <c r="Q96" s="577"/>
      <c r="R96" s="577"/>
      <c r="S96" s="577"/>
      <c r="T96" s="577"/>
      <c r="U96" s="577"/>
      <c r="V96" s="577"/>
      <c r="W96" s="577"/>
      <c r="X96" s="577"/>
      <c r="Y96" s="577"/>
      <c r="Z96" s="577"/>
      <c r="AA96" s="577"/>
      <c r="AB96" s="577"/>
    </row>
    <row r="97" ht="12.75" customHeight="1">
      <c r="A97" s="577"/>
      <c r="B97" s="577"/>
      <c r="C97" s="577"/>
      <c r="D97" s="577"/>
      <c r="E97" s="577"/>
      <c r="F97" s="577"/>
      <c r="G97" s="577"/>
      <c r="H97" s="577"/>
      <c r="I97" s="577"/>
      <c r="J97" s="577"/>
      <c r="K97" s="577"/>
      <c r="L97" s="577"/>
      <c r="M97" s="577"/>
      <c r="N97" s="577"/>
      <c r="O97" s="577"/>
      <c r="P97" s="577"/>
      <c r="Q97" s="577"/>
      <c r="R97" s="577"/>
      <c r="S97" s="577"/>
      <c r="T97" s="577"/>
      <c r="U97" s="577"/>
      <c r="V97" s="577"/>
      <c r="W97" s="577"/>
      <c r="X97" s="577"/>
      <c r="Y97" s="577"/>
      <c r="Z97" s="577"/>
      <c r="AA97" s="577"/>
      <c r="AB97" s="577"/>
    </row>
    <row r="98" ht="12.75" customHeight="1">
      <c r="A98" s="577"/>
      <c r="B98" s="577"/>
      <c r="C98" s="577"/>
      <c r="D98" s="577"/>
      <c r="E98" s="577"/>
      <c r="F98" s="577"/>
      <c r="G98" s="577"/>
      <c r="H98" s="577"/>
      <c r="I98" s="577"/>
      <c r="J98" s="577"/>
      <c r="K98" s="577"/>
      <c r="L98" s="577"/>
      <c r="M98" s="577"/>
      <c r="N98" s="577"/>
      <c r="O98" s="577"/>
      <c r="P98" s="577"/>
      <c r="Q98" s="577"/>
      <c r="R98" s="577"/>
      <c r="S98" s="577"/>
      <c r="T98" s="577"/>
      <c r="U98" s="577"/>
      <c r="V98" s="577"/>
      <c r="W98" s="577"/>
      <c r="X98" s="577"/>
      <c r="Y98" s="577"/>
      <c r="Z98" s="577"/>
      <c r="AA98" s="577"/>
      <c r="AB98" s="577"/>
    </row>
    <row r="99" ht="12.75" customHeight="1">
      <c r="A99" s="577"/>
      <c r="B99" s="577"/>
      <c r="C99" s="577"/>
      <c r="D99" s="577"/>
      <c r="E99" s="577"/>
      <c r="F99" s="577"/>
      <c r="G99" s="577"/>
      <c r="H99" s="577"/>
      <c r="I99" s="577"/>
      <c r="J99" s="577"/>
      <c r="K99" s="577"/>
      <c r="L99" s="577"/>
      <c r="M99" s="577"/>
      <c r="N99" s="577"/>
      <c r="O99" s="577"/>
      <c r="P99" s="577"/>
      <c r="Q99" s="577"/>
      <c r="R99" s="577"/>
      <c r="S99" s="577"/>
      <c r="T99" s="577"/>
      <c r="U99" s="577"/>
      <c r="V99" s="577"/>
      <c r="W99" s="577"/>
      <c r="X99" s="577"/>
      <c r="Y99" s="577"/>
      <c r="Z99" s="577"/>
      <c r="AA99" s="577"/>
      <c r="AB99" s="577"/>
    </row>
    <row r="100" ht="12.75" customHeight="1">
      <c r="A100" s="577"/>
      <c r="B100" s="577"/>
      <c r="C100" s="577"/>
      <c r="D100" s="577"/>
      <c r="E100" s="577"/>
      <c r="F100" s="577"/>
      <c r="G100" s="577"/>
      <c r="H100" s="577"/>
      <c r="I100" s="577"/>
      <c r="J100" s="577"/>
      <c r="K100" s="577"/>
      <c r="L100" s="577"/>
      <c r="M100" s="577"/>
      <c r="N100" s="577"/>
      <c r="O100" s="577"/>
      <c r="P100" s="577"/>
      <c r="Q100" s="577"/>
      <c r="R100" s="577"/>
      <c r="S100" s="577"/>
      <c r="T100" s="577"/>
      <c r="U100" s="577"/>
      <c r="V100" s="577"/>
      <c r="W100" s="577"/>
      <c r="X100" s="577"/>
      <c r="Y100" s="577"/>
      <c r="Z100" s="577"/>
      <c r="AA100" s="577"/>
      <c r="AB100" s="577"/>
    </row>
    <row r="101" ht="12.75" customHeight="1">
      <c r="A101" s="577"/>
      <c r="B101" s="577"/>
      <c r="C101" s="577"/>
      <c r="D101" s="577"/>
      <c r="E101" s="577"/>
      <c r="F101" s="577"/>
      <c r="G101" s="577"/>
      <c r="H101" s="577"/>
      <c r="I101" s="577"/>
      <c r="J101" s="577"/>
      <c r="K101" s="577"/>
      <c r="L101" s="577"/>
      <c r="M101" s="577"/>
      <c r="N101" s="577"/>
      <c r="O101" s="577"/>
      <c r="P101" s="577"/>
      <c r="Q101" s="577"/>
      <c r="R101" s="577"/>
      <c r="S101" s="577"/>
      <c r="T101" s="577"/>
      <c r="U101" s="577"/>
      <c r="V101" s="577"/>
      <c r="W101" s="577"/>
      <c r="X101" s="577"/>
      <c r="Y101" s="577"/>
      <c r="Z101" s="577"/>
      <c r="AA101" s="577"/>
      <c r="AB101" s="577"/>
    </row>
    <row r="102" ht="12.75" customHeight="1">
      <c r="A102" s="577"/>
      <c r="B102" s="577"/>
      <c r="C102" s="577"/>
      <c r="D102" s="577"/>
      <c r="E102" s="577"/>
      <c r="F102" s="577"/>
      <c r="G102" s="577"/>
      <c r="H102" s="577"/>
      <c r="I102" s="577"/>
      <c r="J102" s="577"/>
      <c r="K102" s="577"/>
      <c r="L102" s="577"/>
      <c r="M102" s="577"/>
      <c r="N102" s="577"/>
      <c r="O102" s="577"/>
      <c r="P102" s="577"/>
      <c r="Q102" s="577"/>
      <c r="R102" s="577"/>
      <c r="S102" s="577"/>
      <c r="T102" s="577"/>
      <c r="U102" s="577"/>
      <c r="V102" s="577"/>
      <c r="W102" s="577"/>
      <c r="X102" s="577"/>
      <c r="Y102" s="577"/>
      <c r="Z102" s="577"/>
      <c r="AA102" s="577"/>
      <c r="AB102" s="577"/>
    </row>
    <row r="103" ht="12.75" customHeight="1">
      <c r="A103" s="577"/>
      <c r="B103" s="577"/>
      <c r="C103" s="577"/>
      <c r="D103" s="577"/>
      <c r="E103" s="577"/>
      <c r="F103" s="577"/>
      <c r="G103" s="577"/>
      <c r="H103" s="577"/>
      <c r="I103" s="577"/>
      <c r="J103" s="577"/>
      <c r="K103" s="577"/>
      <c r="L103" s="577"/>
      <c r="M103" s="577"/>
      <c r="N103" s="577"/>
      <c r="O103" s="577"/>
      <c r="P103" s="577"/>
      <c r="Q103" s="577"/>
      <c r="R103" s="577"/>
      <c r="S103" s="577"/>
      <c r="T103" s="577"/>
      <c r="U103" s="577"/>
      <c r="V103" s="577"/>
      <c r="W103" s="577"/>
      <c r="X103" s="577"/>
      <c r="Y103" s="577"/>
      <c r="Z103" s="577"/>
      <c r="AA103" s="577"/>
      <c r="AB103" s="577"/>
    </row>
    <row r="104" ht="12.75" customHeight="1">
      <c r="A104" s="577"/>
      <c r="B104" s="577"/>
      <c r="C104" s="577"/>
      <c r="D104" s="577"/>
      <c r="E104" s="577"/>
      <c r="F104" s="577"/>
      <c r="G104" s="577"/>
      <c r="H104" s="577"/>
      <c r="I104" s="577"/>
      <c r="J104" s="577"/>
      <c r="K104" s="577"/>
      <c r="L104" s="577"/>
      <c r="M104" s="577"/>
      <c r="N104" s="577"/>
      <c r="O104" s="577"/>
      <c r="P104" s="577"/>
      <c r="Q104" s="577"/>
      <c r="R104" s="577"/>
      <c r="S104" s="577"/>
      <c r="T104" s="577"/>
      <c r="U104" s="577"/>
      <c r="V104" s="577"/>
      <c r="W104" s="577"/>
      <c r="X104" s="577"/>
      <c r="Y104" s="577"/>
      <c r="Z104" s="577"/>
      <c r="AA104" s="577"/>
      <c r="AB104" s="577"/>
    </row>
    <row r="105" ht="12.75" customHeight="1">
      <c r="A105" s="577"/>
      <c r="B105" s="577"/>
      <c r="C105" s="577"/>
      <c r="D105" s="577"/>
      <c r="E105" s="577"/>
      <c r="F105" s="577"/>
      <c r="G105" s="577"/>
      <c r="H105" s="577"/>
      <c r="I105" s="577"/>
      <c r="J105" s="577"/>
      <c r="K105" s="577"/>
      <c r="L105" s="577"/>
      <c r="M105" s="577"/>
      <c r="N105" s="577"/>
      <c r="O105" s="577"/>
      <c r="P105" s="577"/>
      <c r="Q105" s="577"/>
      <c r="R105" s="577"/>
      <c r="S105" s="577"/>
      <c r="T105" s="577"/>
      <c r="U105" s="577"/>
      <c r="V105" s="577"/>
      <c r="W105" s="577"/>
      <c r="X105" s="577"/>
      <c r="Y105" s="577"/>
      <c r="Z105" s="577"/>
      <c r="AA105" s="577"/>
      <c r="AB105" s="577"/>
    </row>
    <row r="106" ht="12.75" customHeight="1">
      <c r="A106" s="577"/>
      <c r="B106" s="577"/>
      <c r="C106" s="577"/>
      <c r="D106" s="577"/>
      <c r="E106" s="577"/>
      <c r="F106" s="577"/>
      <c r="G106" s="577"/>
      <c r="H106" s="577"/>
      <c r="I106" s="577"/>
      <c r="J106" s="577"/>
      <c r="K106" s="577"/>
      <c r="L106" s="577"/>
      <c r="M106" s="577"/>
      <c r="N106" s="577"/>
      <c r="O106" s="577"/>
      <c r="P106" s="577"/>
      <c r="Q106" s="577"/>
      <c r="R106" s="577"/>
      <c r="S106" s="577"/>
      <c r="T106" s="577"/>
      <c r="U106" s="577"/>
      <c r="V106" s="577"/>
      <c r="W106" s="577"/>
      <c r="X106" s="577"/>
      <c r="Y106" s="577"/>
      <c r="Z106" s="577"/>
      <c r="AA106" s="577"/>
      <c r="AB106" s="577"/>
    </row>
    <row r="107" ht="12.75" customHeight="1">
      <c r="A107" s="577"/>
      <c r="B107" s="577"/>
      <c r="C107" s="577"/>
      <c r="D107" s="577"/>
      <c r="E107" s="577"/>
      <c r="F107" s="577"/>
      <c r="G107" s="577"/>
      <c r="H107" s="577"/>
      <c r="I107" s="577"/>
      <c r="J107" s="577"/>
      <c r="K107" s="577"/>
      <c r="L107" s="577"/>
      <c r="M107" s="577"/>
      <c r="N107" s="577"/>
      <c r="O107" s="577"/>
      <c r="P107" s="577"/>
      <c r="Q107" s="577"/>
      <c r="R107" s="577"/>
      <c r="S107" s="577"/>
      <c r="T107" s="577"/>
      <c r="U107" s="577"/>
      <c r="V107" s="577"/>
      <c r="W107" s="577"/>
      <c r="X107" s="577"/>
      <c r="Y107" s="577"/>
      <c r="Z107" s="577"/>
      <c r="AA107" s="577"/>
      <c r="AB107" s="577"/>
    </row>
    <row r="108" ht="12.75" customHeight="1">
      <c r="A108" s="577"/>
      <c r="B108" s="577"/>
      <c r="C108" s="577"/>
      <c r="D108" s="577"/>
      <c r="E108" s="577"/>
      <c r="F108" s="577"/>
      <c r="G108" s="577"/>
      <c r="H108" s="577"/>
      <c r="I108" s="577"/>
      <c r="J108" s="577"/>
      <c r="K108" s="577"/>
      <c r="L108" s="577"/>
      <c r="M108" s="577"/>
      <c r="N108" s="577"/>
      <c r="O108" s="577"/>
      <c r="P108" s="577"/>
      <c r="Q108" s="577"/>
      <c r="R108" s="577"/>
      <c r="S108" s="577"/>
      <c r="T108" s="577"/>
      <c r="U108" s="577"/>
      <c r="V108" s="577"/>
      <c r="W108" s="577"/>
      <c r="X108" s="577"/>
      <c r="Y108" s="577"/>
      <c r="Z108" s="577"/>
      <c r="AA108" s="577"/>
      <c r="AB108" s="577"/>
    </row>
    <row r="109" ht="12.75" customHeight="1">
      <c r="A109" s="577"/>
      <c r="B109" s="577"/>
      <c r="C109" s="577"/>
      <c r="D109" s="577"/>
      <c r="E109" s="577"/>
      <c r="F109" s="577"/>
      <c r="G109" s="577"/>
      <c r="H109" s="577"/>
      <c r="I109" s="577"/>
      <c r="J109" s="577"/>
      <c r="K109" s="577"/>
      <c r="L109" s="577"/>
      <c r="M109" s="577"/>
      <c r="N109" s="577"/>
      <c r="O109" s="577"/>
      <c r="P109" s="577"/>
      <c r="Q109" s="577"/>
      <c r="R109" s="577"/>
      <c r="S109" s="577"/>
      <c r="T109" s="577"/>
      <c r="U109" s="577"/>
      <c r="V109" s="577"/>
      <c r="W109" s="577"/>
      <c r="X109" s="577"/>
      <c r="Y109" s="577"/>
      <c r="Z109" s="577"/>
      <c r="AA109" s="577"/>
      <c r="AB109" s="577"/>
    </row>
    <row r="110" ht="12.75" customHeight="1">
      <c r="A110" s="577"/>
      <c r="B110" s="577"/>
      <c r="C110" s="577"/>
      <c r="D110" s="577"/>
      <c r="E110" s="577"/>
      <c r="F110" s="577"/>
      <c r="G110" s="577"/>
      <c r="H110" s="577"/>
      <c r="I110" s="577"/>
      <c r="J110" s="577"/>
      <c r="K110" s="577"/>
      <c r="L110" s="577"/>
      <c r="M110" s="577"/>
      <c r="N110" s="577"/>
      <c r="O110" s="577"/>
      <c r="P110" s="577"/>
      <c r="Q110" s="577"/>
      <c r="R110" s="577"/>
      <c r="S110" s="577"/>
      <c r="T110" s="577"/>
      <c r="U110" s="577"/>
      <c r="V110" s="577"/>
      <c r="W110" s="577"/>
      <c r="X110" s="577"/>
      <c r="Y110" s="577"/>
      <c r="Z110" s="577"/>
      <c r="AA110" s="577"/>
      <c r="AB110" s="577"/>
    </row>
    <row r="111" ht="12.75" customHeight="1">
      <c r="A111" s="577"/>
      <c r="B111" s="577"/>
      <c r="C111" s="577"/>
      <c r="D111" s="577"/>
      <c r="E111" s="577"/>
      <c r="F111" s="577"/>
      <c r="G111" s="577"/>
      <c r="H111" s="577"/>
      <c r="I111" s="577"/>
      <c r="J111" s="577"/>
      <c r="K111" s="577"/>
      <c r="L111" s="577"/>
      <c r="M111" s="577"/>
      <c r="N111" s="577"/>
      <c r="O111" s="577"/>
      <c r="P111" s="577"/>
      <c r="Q111" s="577"/>
      <c r="R111" s="577"/>
      <c r="S111" s="577"/>
      <c r="T111" s="577"/>
      <c r="U111" s="577"/>
      <c r="V111" s="577"/>
      <c r="W111" s="577"/>
      <c r="X111" s="577"/>
      <c r="Y111" s="577"/>
      <c r="Z111" s="577"/>
      <c r="AA111" s="577"/>
      <c r="AB111" s="577"/>
    </row>
    <row r="112" ht="12.75" customHeight="1">
      <c r="A112" s="577"/>
      <c r="B112" s="577"/>
      <c r="C112" s="577"/>
      <c r="D112" s="577"/>
      <c r="E112" s="577"/>
      <c r="F112" s="577"/>
      <c r="G112" s="577"/>
      <c r="H112" s="577"/>
      <c r="I112" s="577"/>
      <c r="J112" s="577"/>
      <c r="K112" s="577"/>
      <c r="L112" s="577"/>
      <c r="M112" s="577"/>
      <c r="N112" s="577"/>
      <c r="O112" s="577"/>
      <c r="P112" s="577"/>
      <c r="Q112" s="577"/>
      <c r="R112" s="577"/>
      <c r="S112" s="577"/>
      <c r="T112" s="577"/>
      <c r="U112" s="577"/>
      <c r="V112" s="577"/>
      <c r="W112" s="577"/>
      <c r="X112" s="577"/>
      <c r="Y112" s="577"/>
      <c r="Z112" s="577"/>
      <c r="AA112" s="577"/>
      <c r="AB112" s="577"/>
    </row>
    <row r="113" ht="12.75" customHeight="1">
      <c r="A113" s="577"/>
      <c r="B113" s="577"/>
      <c r="C113" s="577"/>
      <c r="D113" s="577"/>
      <c r="E113" s="577"/>
      <c r="F113" s="577"/>
      <c r="G113" s="577"/>
      <c r="H113" s="577"/>
      <c r="I113" s="577"/>
      <c r="J113" s="577"/>
      <c r="K113" s="577"/>
      <c r="L113" s="577"/>
      <c r="M113" s="577"/>
      <c r="N113" s="577"/>
      <c r="O113" s="577"/>
      <c r="P113" s="577"/>
      <c r="Q113" s="577"/>
      <c r="R113" s="577"/>
      <c r="S113" s="577"/>
      <c r="T113" s="577"/>
      <c r="U113" s="577"/>
      <c r="V113" s="577"/>
      <c r="W113" s="577"/>
      <c r="X113" s="577"/>
      <c r="Y113" s="577"/>
      <c r="Z113" s="577"/>
      <c r="AA113" s="577"/>
      <c r="AB113" s="577"/>
    </row>
    <row r="114" ht="12.75" customHeight="1">
      <c r="A114" s="577"/>
      <c r="B114" s="577"/>
      <c r="C114" s="577"/>
      <c r="D114" s="577"/>
      <c r="E114" s="577"/>
      <c r="F114" s="577"/>
      <c r="G114" s="577"/>
      <c r="H114" s="577"/>
      <c r="I114" s="577"/>
      <c r="J114" s="577"/>
      <c r="K114" s="577"/>
      <c r="L114" s="577"/>
      <c r="M114" s="577"/>
      <c r="N114" s="577"/>
      <c r="O114" s="577"/>
      <c r="P114" s="577"/>
      <c r="Q114" s="577"/>
      <c r="R114" s="577"/>
      <c r="S114" s="577"/>
      <c r="T114" s="577"/>
      <c r="U114" s="577"/>
      <c r="V114" s="577"/>
      <c r="W114" s="577"/>
      <c r="X114" s="577"/>
      <c r="Y114" s="577"/>
      <c r="Z114" s="577"/>
      <c r="AA114" s="577"/>
      <c r="AB114" s="577"/>
    </row>
    <row r="115" ht="12.75" customHeight="1">
      <c r="A115" s="577"/>
      <c r="B115" s="577"/>
      <c r="C115" s="577"/>
      <c r="D115" s="577"/>
      <c r="E115" s="577"/>
      <c r="F115" s="577"/>
      <c r="G115" s="577"/>
      <c r="H115" s="577"/>
      <c r="I115" s="577"/>
      <c r="J115" s="577"/>
      <c r="K115" s="577"/>
      <c r="L115" s="577"/>
      <c r="M115" s="577"/>
      <c r="N115" s="577"/>
      <c r="O115" s="577"/>
      <c r="P115" s="577"/>
      <c r="Q115" s="577"/>
      <c r="R115" s="577"/>
      <c r="S115" s="577"/>
      <c r="T115" s="577"/>
      <c r="U115" s="577"/>
      <c r="V115" s="577"/>
      <c r="W115" s="577"/>
      <c r="X115" s="577"/>
      <c r="Y115" s="577"/>
      <c r="Z115" s="577"/>
      <c r="AA115" s="577"/>
      <c r="AB115" s="577"/>
    </row>
    <row r="116" ht="12.75" customHeight="1">
      <c r="A116" s="577"/>
      <c r="B116" s="577"/>
      <c r="C116" s="577"/>
      <c r="D116" s="577"/>
      <c r="E116" s="577"/>
      <c r="F116" s="577"/>
      <c r="G116" s="577"/>
      <c r="H116" s="577"/>
      <c r="I116" s="577"/>
      <c r="J116" s="577"/>
      <c r="K116" s="577"/>
      <c r="L116" s="577"/>
      <c r="M116" s="577"/>
      <c r="N116" s="577"/>
      <c r="O116" s="577"/>
      <c r="P116" s="577"/>
      <c r="Q116" s="577"/>
      <c r="R116" s="577"/>
      <c r="S116" s="577"/>
      <c r="T116" s="577"/>
      <c r="U116" s="577"/>
      <c r="V116" s="577"/>
      <c r="W116" s="577"/>
      <c r="X116" s="577"/>
      <c r="Y116" s="577"/>
      <c r="Z116" s="577"/>
      <c r="AA116" s="577"/>
      <c r="AB116" s="577"/>
    </row>
    <row r="117" ht="12.75" customHeight="1">
      <c r="A117" s="577"/>
      <c r="B117" s="577"/>
      <c r="C117" s="577"/>
      <c r="D117" s="577"/>
      <c r="E117" s="577"/>
      <c r="F117" s="577"/>
      <c r="G117" s="577"/>
      <c r="H117" s="577"/>
      <c r="I117" s="577"/>
      <c r="J117" s="577"/>
      <c r="K117" s="577"/>
      <c r="L117" s="577"/>
      <c r="M117" s="577"/>
      <c r="N117" s="577"/>
      <c r="O117" s="577"/>
      <c r="P117" s="577"/>
      <c r="Q117" s="577"/>
      <c r="R117" s="577"/>
      <c r="S117" s="577"/>
      <c r="T117" s="577"/>
      <c r="U117" s="577"/>
      <c r="V117" s="577"/>
      <c r="W117" s="577"/>
      <c r="X117" s="577"/>
      <c r="Y117" s="577"/>
      <c r="Z117" s="577"/>
      <c r="AA117" s="577"/>
      <c r="AB117" s="577"/>
    </row>
    <row r="118" ht="12.75" customHeight="1">
      <c r="A118" s="577"/>
      <c r="B118" s="577"/>
      <c r="C118" s="577"/>
      <c r="D118" s="577"/>
      <c r="E118" s="577"/>
      <c r="F118" s="577"/>
      <c r="G118" s="577"/>
      <c r="H118" s="577"/>
      <c r="I118" s="577"/>
      <c r="J118" s="577"/>
      <c r="K118" s="577"/>
      <c r="L118" s="577"/>
      <c r="M118" s="577"/>
      <c r="N118" s="577"/>
      <c r="O118" s="577"/>
      <c r="P118" s="577"/>
      <c r="Q118" s="577"/>
      <c r="R118" s="577"/>
      <c r="S118" s="577"/>
      <c r="T118" s="577"/>
      <c r="U118" s="577"/>
      <c r="V118" s="577"/>
      <c r="W118" s="577"/>
      <c r="X118" s="577"/>
      <c r="Y118" s="577"/>
      <c r="Z118" s="577"/>
      <c r="AA118" s="577"/>
      <c r="AB118" s="577"/>
    </row>
    <row r="119" ht="12.75" customHeight="1">
      <c r="A119" s="577"/>
      <c r="B119" s="577"/>
      <c r="C119" s="577"/>
      <c r="D119" s="577"/>
      <c r="E119" s="577"/>
      <c r="F119" s="577"/>
      <c r="G119" s="577"/>
      <c r="H119" s="577"/>
      <c r="I119" s="577"/>
      <c r="J119" s="577"/>
      <c r="K119" s="577"/>
      <c r="L119" s="577"/>
      <c r="M119" s="577"/>
      <c r="N119" s="577"/>
      <c r="O119" s="577"/>
      <c r="P119" s="577"/>
      <c r="Q119" s="577"/>
      <c r="R119" s="577"/>
      <c r="S119" s="577"/>
      <c r="T119" s="577"/>
      <c r="U119" s="577"/>
      <c r="V119" s="577"/>
      <c r="W119" s="577"/>
      <c r="X119" s="577"/>
      <c r="Y119" s="577"/>
      <c r="Z119" s="577"/>
      <c r="AA119" s="577"/>
      <c r="AB119" s="577"/>
    </row>
    <row r="120" ht="12.75" customHeight="1">
      <c r="A120" s="577"/>
      <c r="B120" s="577"/>
      <c r="C120" s="577"/>
      <c r="D120" s="577"/>
      <c r="E120" s="577"/>
      <c r="F120" s="577"/>
      <c r="G120" s="577"/>
      <c r="H120" s="577"/>
      <c r="I120" s="577"/>
      <c r="J120" s="577"/>
      <c r="K120" s="577"/>
      <c r="L120" s="577"/>
      <c r="M120" s="577"/>
      <c r="N120" s="577"/>
      <c r="O120" s="577"/>
      <c r="P120" s="577"/>
      <c r="Q120" s="577"/>
      <c r="R120" s="577"/>
      <c r="S120" s="577"/>
      <c r="T120" s="577"/>
      <c r="U120" s="577"/>
      <c r="V120" s="577"/>
      <c r="W120" s="577"/>
      <c r="X120" s="577"/>
      <c r="Y120" s="577"/>
      <c r="Z120" s="577"/>
      <c r="AA120" s="577"/>
      <c r="AB120" s="577"/>
    </row>
    <row r="121" ht="12.75" customHeight="1">
      <c r="A121" s="577"/>
      <c r="B121" s="577"/>
      <c r="C121" s="577"/>
      <c r="D121" s="577"/>
      <c r="E121" s="577"/>
      <c r="F121" s="577"/>
      <c r="G121" s="577"/>
      <c r="H121" s="577"/>
      <c r="I121" s="577"/>
      <c r="J121" s="577"/>
      <c r="K121" s="577"/>
      <c r="L121" s="577"/>
      <c r="M121" s="577"/>
      <c r="N121" s="577"/>
      <c r="O121" s="577"/>
      <c r="P121" s="577"/>
      <c r="Q121" s="577"/>
      <c r="R121" s="577"/>
      <c r="S121" s="577"/>
      <c r="T121" s="577"/>
      <c r="U121" s="577"/>
      <c r="V121" s="577"/>
      <c r="W121" s="577"/>
      <c r="X121" s="577"/>
      <c r="Y121" s="577"/>
      <c r="Z121" s="577"/>
      <c r="AA121" s="577"/>
      <c r="AB121" s="577"/>
    </row>
    <row r="122" ht="12.75" customHeight="1">
      <c r="A122" s="577"/>
      <c r="B122" s="577"/>
      <c r="C122" s="577"/>
      <c r="D122" s="577"/>
      <c r="E122" s="577"/>
      <c r="F122" s="577"/>
      <c r="G122" s="577"/>
      <c r="H122" s="577"/>
      <c r="I122" s="577"/>
      <c r="J122" s="577"/>
      <c r="K122" s="577"/>
      <c r="L122" s="577"/>
      <c r="M122" s="577"/>
      <c r="N122" s="577"/>
      <c r="O122" s="577"/>
      <c r="P122" s="577"/>
      <c r="Q122" s="577"/>
      <c r="R122" s="577"/>
      <c r="S122" s="577"/>
      <c r="T122" s="577"/>
      <c r="U122" s="577"/>
      <c r="V122" s="577"/>
      <c r="W122" s="577"/>
      <c r="X122" s="577"/>
      <c r="Y122" s="577"/>
      <c r="Z122" s="577"/>
      <c r="AA122" s="577"/>
      <c r="AB122" s="577"/>
    </row>
    <row r="123" ht="12.75" customHeight="1">
      <c r="A123" s="577"/>
      <c r="B123" s="577"/>
      <c r="C123" s="577"/>
      <c r="D123" s="577"/>
      <c r="E123" s="577"/>
      <c r="F123" s="577"/>
      <c r="G123" s="577"/>
      <c r="H123" s="577"/>
      <c r="I123" s="577"/>
      <c r="J123" s="577"/>
      <c r="K123" s="577"/>
      <c r="L123" s="577"/>
      <c r="M123" s="577"/>
      <c r="N123" s="577"/>
      <c r="O123" s="577"/>
      <c r="P123" s="577"/>
      <c r="Q123" s="577"/>
      <c r="R123" s="577"/>
      <c r="S123" s="577"/>
      <c r="T123" s="577"/>
      <c r="U123" s="577"/>
      <c r="V123" s="577"/>
      <c r="W123" s="577"/>
      <c r="X123" s="577"/>
      <c r="Y123" s="577"/>
      <c r="Z123" s="577"/>
      <c r="AA123" s="577"/>
      <c r="AB123" s="577"/>
    </row>
    <row r="124" ht="12.75" customHeight="1">
      <c r="A124" s="577"/>
      <c r="B124" s="577"/>
      <c r="C124" s="577"/>
      <c r="D124" s="577"/>
      <c r="E124" s="577"/>
      <c r="F124" s="577"/>
      <c r="G124" s="577"/>
      <c r="H124" s="577"/>
      <c r="I124" s="577"/>
      <c r="J124" s="577"/>
      <c r="K124" s="577"/>
      <c r="L124" s="577"/>
      <c r="M124" s="577"/>
      <c r="N124" s="577"/>
      <c r="O124" s="577"/>
      <c r="P124" s="577"/>
      <c r="Q124" s="577"/>
      <c r="R124" s="577"/>
      <c r="S124" s="577"/>
      <c r="T124" s="577"/>
      <c r="U124" s="577"/>
      <c r="V124" s="577"/>
      <c r="W124" s="577"/>
      <c r="X124" s="577"/>
      <c r="Y124" s="577"/>
      <c r="Z124" s="577"/>
      <c r="AA124" s="577"/>
      <c r="AB124" s="577"/>
    </row>
    <row r="125" ht="12.75" customHeight="1">
      <c r="A125" s="577"/>
      <c r="B125" s="577"/>
      <c r="C125" s="577"/>
      <c r="D125" s="577"/>
      <c r="E125" s="577"/>
      <c r="F125" s="577"/>
      <c r="G125" s="577"/>
      <c r="H125" s="577"/>
      <c r="I125" s="577"/>
      <c r="J125" s="577"/>
      <c r="K125" s="577"/>
      <c r="L125" s="577"/>
      <c r="M125" s="577"/>
      <c r="N125" s="577"/>
      <c r="O125" s="577"/>
      <c r="P125" s="577"/>
      <c r="Q125" s="577"/>
      <c r="R125" s="577"/>
      <c r="S125" s="577"/>
      <c r="T125" s="577"/>
      <c r="U125" s="577"/>
      <c r="V125" s="577"/>
      <c r="W125" s="577"/>
      <c r="X125" s="577"/>
      <c r="Y125" s="577"/>
      <c r="Z125" s="577"/>
      <c r="AA125" s="577"/>
      <c r="AB125" s="577"/>
    </row>
    <row r="126" ht="12.75" customHeight="1">
      <c r="A126" s="577"/>
      <c r="B126" s="577"/>
      <c r="C126" s="577"/>
      <c r="D126" s="577"/>
      <c r="E126" s="577"/>
      <c r="F126" s="577"/>
      <c r="G126" s="577"/>
      <c r="H126" s="577"/>
      <c r="I126" s="577"/>
      <c r="J126" s="577"/>
      <c r="K126" s="577"/>
      <c r="L126" s="577"/>
      <c r="M126" s="577"/>
      <c r="N126" s="577"/>
      <c r="O126" s="577"/>
      <c r="P126" s="577"/>
      <c r="Q126" s="577"/>
      <c r="R126" s="577"/>
      <c r="S126" s="577"/>
      <c r="T126" s="577"/>
      <c r="U126" s="577"/>
      <c r="V126" s="577"/>
      <c r="W126" s="577"/>
      <c r="X126" s="577"/>
      <c r="Y126" s="577"/>
      <c r="Z126" s="577"/>
      <c r="AA126" s="577"/>
      <c r="AB126" s="577"/>
    </row>
    <row r="127" ht="12.75" customHeight="1">
      <c r="A127" s="577"/>
      <c r="B127" s="577"/>
      <c r="C127" s="577"/>
      <c r="D127" s="577"/>
      <c r="E127" s="577"/>
      <c r="F127" s="577"/>
      <c r="G127" s="577"/>
      <c r="H127" s="577"/>
      <c r="I127" s="577"/>
      <c r="J127" s="577"/>
      <c r="K127" s="577"/>
      <c r="L127" s="577"/>
      <c r="M127" s="577"/>
      <c r="N127" s="577"/>
      <c r="O127" s="577"/>
      <c r="P127" s="577"/>
      <c r="Q127" s="577"/>
      <c r="R127" s="577"/>
      <c r="S127" s="577"/>
      <c r="T127" s="577"/>
      <c r="U127" s="577"/>
      <c r="V127" s="577"/>
      <c r="W127" s="577"/>
      <c r="X127" s="577"/>
      <c r="Y127" s="577"/>
      <c r="Z127" s="577"/>
      <c r="AA127" s="577"/>
      <c r="AB127" s="577"/>
    </row>
    <row r="128" ht="12.75" customHeight="1">
      <c r="A128" s="577"/>
      <c r="B128" s="577"/>
      <c r="C128" s="577"/>
      <c r="D128" s="577"/>
      <c r="E128" s="577"/>
      <c r="F128" s="577"/>
      <c r="G128" s="577"/>
      <c r="H128" s="577"/>
      <c r="I128" s="577"/>
      <c r="J128" s="577"/>
      <c r="K128" s="577"/>
      <c r="L128" s="577"/>
      <c r="M128" s="577"/>
      <c r="N128" s="577"/>
      <c r="O128" s="577"/>
      <c r="P128" s="577"/>
      <c r="Q128" s="577"/>
      <c r="R128" s="577"/>
      <c r="S128" s="577"/>
      <c r="T128" s="577"/>
      <c r="U128" s="577"/>
      <c r="V128" s="577"/>
      <c r="W128" s="577"/>
      <c r="X128" s="577"/>
      <c r="Y128" s="577"/>
      <c r="Z128" s="577"/>
      <c r="AA128" s="577"/>
      <c r="AB128" s="577"/>
    </row>
    <row r="129" ht="12.75" customHeight="1">
      <c r="A129" s="577"/>
      <c r="B129" s="577"/>
      <c r="C129" s="577"/>
      <c r="D129" s="577"/>
      <c r="E129" s="577"/>
      <c r="F129" s="577"/>
      <c r="G129" s="577"/>
      <c r="H129" s="577"/>
      <c r="I129" s="577"/>
      <c r="J129" s="577"/>
      <c r="K129" s="577"/>
      <c r="L129" s="577"/>
      <c r="M129" s="577"/>
      <c r="N129" s="577"/>
      <c r="O129" s="577"/>
      <c r="P129" s="577"/>
      <c r="Q129" s="577"/>
      <c r="R129" s="577"/>
      <c r="S129" s="577"/>
      <c r="T129" s="577"/>
      <c r="U129" s="577"/>
      <c r="V129" s="577"/>
      <c r="W129" s="577"/>
      <c r="X129" s="577"/>
      <c r="Y129" s="577"/>
      <c r="Z129" s="577"/>
      <c r="AA129" s="577"/>
      <c r="AB129" s="577"/>
    </row>
    <row r="130" ht="12.75" customHeight="1">
      <c r="A130" s="577"/>
      <c r="B130" s="577"/>
      <c r="C130" s="577"/>
      <c r="D130" s="577"/>
      <c r="E130" s="577"/>
      <c r="F130" s="577"/>
      <c r="G130" s="577"/>
      <c r="H130" s="577"/>
      <c r="I130" s="577"/>
      <c r="J130" s="577"/>
      <c r="K130" s="577"/>
      <c r="L130" s="577"/>
      <c r="M130" s="577"/>
      <c r="N130" s="577"/>
      <c r="O130" s="577"/>
      <c r="P130" s="577"/>
      <c r="Q130" s="577"/>
      <c r="R130" s="577"/>
      <c r="S130" s="577"/>
      <c r="T130" s="577"/>
      <c r="U130" s="577"/>
      <c r="V130" s="577"/>
      <c r="W130" s="577"/>
      <c r="X130" s="577"/>
      <c r="Y130" s="577"/>
      <c r="Z130" s="577"/>
      <c r="AA130" s="577"/>
      <c r="AB130" s="577"/>
    </row>
    <row r="131" ht="12.75" customHeight="1">
      <c r="A131" s="577"/>
      <c r="B131" s="577"/>
      <c r="C131" s="577"/>
      <c r="D131" s="577"/>
      <c r="E131" s="577"/>
      <c r="F131" s="577"/>
      <c r="G131" s="577"/>
      <c r="H131" s="577"/>
      <c r="I131" s="577"/>
      <c r="J131" s="577"/>
      <c r="K131" s="577"/>
      <c r="L131" s="577"/>
      <c r="M131" s="577"/>
      <c r="N131" s="577"/>
      <c r="O131" s="577"/>
      <c r="P131" s="577"/>
      <c r="Q131" s="577"/>
      <c r="R131" s="577"/>
      <c r="S131" s="577"/>
      <c r="T131" s="577"/>
      <c r="U131" s="577"/>
      <c r="V131" s="577"/>
      <c r="W131" s="577"/>
      <c r="X131" s="577"/>
      <c r="Y131" s="577"/>
      <c r="Z131" s="577"/>
      <c r="AA131" s="577"/>
      <c r="AB131" s="577"/>
    </row>
    <row r="132" ht="12.75" customHeight="1">
      <c r="A132" s="577"/>
      <c r="B132" s="577"/>
      <c r="C132" s="577"/>
      <c r="D132" s="577"/>
      <c r="E132" s="577"/>
      <c r="F132" s="577"/>
      <c r="G132" s="577"/>
      <c r="H132" s="577"/>
      <c r="I132" s="577"/>
      <c r="J132" s="577"/>
      <c r="K132" s="577"/>
      <c r="L132" s="577"/>
      <c r="M132" s="577"/>
      <c r="N132" s="577"/>
      <c r="O132" s="577"/>
      <c r="P132" s="577"/>
      <c r="Q132" s="577"/>
      <c r="R132" s="577"/>
      <c r="S132" s="577"/>
      <c r="T132" s="577"/>
      <c r="U132" s="577"/>
      <c r="V132" s="577"/>
      <c r="W132" s="577"/>
      <c r="X132" s="577"/>
      <c r="Y132" s="577"/>
      <c r="Z132" s="577"/>
      <c r="AA132" s="577"/>
      <c r="AB132" s="577"/>
    </row>
    <row r="133" ht="12.75" customHeight="1">
      <c r="A133" s="577"/>
      <c r="B133" s="577"/>
      <c r="C133" s="577"/>
      <c r="D133" s="577"/>
      <c r="E133" s="577"/>
      <c r="F133" s="577"/>
      <c r="G133" s="577"/>
      <c r="H133" s="577"/>
      <c r="I133" s="577"/>
      <c r="J133" s="577"/>
      <c r="K133" s="577"/>
      <c r="L133" s="577"/>
      <c r="M133" s="577"/>
      <c r="N133" s="577"/>
      <c r="O133" s="577"/>
      <c r="P133" s="577"/>
      <c r="Q133" s="577"/>
      <c r="R133" s="577"/>
      <c r="S133" s="577"/>
      <c r="T133" s="577"/>
      <c r="U133" s="577"/>
      <c r="V133" s="577"/>
      <c r="W133" s="577"/>
      <c r="X133" s="577"/>
      <c r="Y133" s="577"/>
      <c r="Z133" s="577"/>
      <c r="AA133" s="577"/>
      <c r="AB133" s="577"/>
    </row>
    <row r="134" ht="12.75" customHeight="1">
      <c r="A134" s="577"/>
      <c r="B134" s="577"/>
      <c r="C134" s="577"/>
      <c r="D134" s="577"/>
      <c r="E134" s="577"/>
      <c r="F134" s="577"/>
      <c r="G134" s="577"/>
      <c r="H134" s="577"/>
      <c r="I134" s="577"/>
      <c r="J134" s="577"/>
      <c r="K134" s="577"/>
      <c r="L134" s="577"/>
      <c r="M134" s="577"/>
      <c r="N134" s="577"/>
      <c r="O134" s="577"/>
      <c r="P134" s="577"/>
      <c r="Q134" s="577"/>
      <c r="R134" s="577"/>
      <c r="S134" s="577"/>
      <c r="T134" s="577"/>
      <c r="U134" s="577"/>
      <c r="V134" s="577"/>
      <c r="W134" s="577"/>
      <c r="X134" s="577"/>
      <c r="Y134" s="577"/>
      <c r="Z134" s="577"/>
      <c r="AA134" s="577"/>
      <c r="AB134" s="577"/>
    </row>
    <row r="135" ht="12.75" customHeight="1">
      <c r="A135" s="577"/>
      <c r="B135" s="577"/>
      <c r="C135" s="577"/>
      <c r="D135" s="577"/>
      <c r="E135" s="577"/>
      <c r="F135" s="577"/>
      <c r="G135" s="577"/>
      <c r="H135" s="577"/>
      <c r="I135" s="577"/>
      <c r="J135" s="577"/>
      <c r="K135" s="577"/>
      <c r="L135" s="577"/>
      <c r="M135" s="577"/>
      <c r="N135" s="577"/>
      <c r="O135" s="577"/>
      <c r="P135" s="577"/>
      <c r="Q135" s="577"/>
      <c r="R135" s="577"/>
      <c r="S135" s="577"/>
      <c r="T135" s="577"/>
      <c r="U135" s="577"/>
      <c r="V135" s="577"/>
      <c r="W135" s="577"/>
      <c r="X135" s="577"/>
      <c r="Y135" s="577"/>
      <c r="Z135" s="577"/>
      <c r="AA135" s="577"/>
      <c r="AB135" s="577"/>
    </row>
    <row r="136" ht="12.75" customHeight="1">
      <c r="A136" s="577"/>
      <c r="B136" s="577"/>
      <c r="C136" s="577"/>
      <c r="D136" s="577"/>
      <c r="E136" s="577"/>
      <c r="F136" s="577"/>
      <c r="G136" s="577"/>
      <c r="H136" s="577"/>
      <c r="I136" s="577"/>
      <c r="J136" s="577"/>
      <c r="K136" s="577"/>
      <c r="L136" s="577"/>
      <c r="M136" s="577"/>
      <c r="N136" s="577"/>
      <c r="O136" s="577"/>
      <c r="P136" s="577"/>
      <c r="Q136" s="577"/>
      <c r="R136" s="577"/>
      <c r="S136" s="577"/>
      <c r="T136" s="577"/>
      <c r="U136" s="577"/>
      <c r="V136" s="577"/>
      <c r="W136" s="577"/>
      <c r="X136" s="577"/>
      <c r="Y136" s="577"/>
      <c r="Z136" s="577"/>
      <c r="AA136" s="577"/>
      <c r="AB136" s="577"/>
    </row>
    <row r="137" ht="12.75" customHeight="1">
      <c r="A137" s="577"/>
      <c r="B137" s="577"/>
      <c r="C137" s="577"/>
      <c r="D137" s="577"/>
      <c r="E137" s="577"/>
      <c r="F137" s="577"/>
      <c r="G137" s="577"/>
      <c r="H137" s="577"/>
      <c r="I137" s="577"/>
      <c r="J137" s="577"/>
      <c r="K137" s="577"/>
      <c r="L137" s="577"/>
      <c r="M137" s="577"/>
      <c r="N137" s="577"/>
      <c r="O137" s="577"/>
      <c r="P137" s="577"/>
      <c r="Q137" s="577"/>
      <c r="R137" s="577"/>
      <c r="S137" s="577"/>
      <c r="T137" s="577"/>
      <c r="U137" s="577"/>
      <c r="V137" s="577"/>
      <c r="W137" s="577"/>
      <c r="X137" s="577"/>
      <c r="Y137" s="577"/>
      <c r="Z137" s="577"/>
      <c r="AA137" s="577"/>
      <c r="AB137" s="577"/>
    </row>
    <row r="138" ht="12.75" customHeight="1">
      <c r="A138" s="577"/>
      <c r="B138" s="577"/>
      <c r="C138" s="577"/>
      <c r="D138" s="577"/>
      <c r="E138" s="577"/>
      <c r="F138" s="577"/>
      <c r="G138" s="577"/>
      <c r="H138" s="577"/>
      <c r="I138" s="577"/>
      <c r="J138" s="577"/>
      <c r="K138" s="577"/>
      <c r="L138" s="577"/>
      <c r="M138" s="577"/>
      <c r="N138" s="577"/>
      <c r="O138" s="577"/>
      <c r="P138" s="577"/>
      <c r="Q138" s="577"/>
      <c r="R138" s="577"/>
      <c r="S138" s="577"/>
      <c r="T138" s="577"/>
      <c r="U138" s="577"/>
      <c r="V138" s="577"/>
      <c r="W138" s="577"/>
      <c r="X138" s="577"/>
      <c r="Y138" s="577"/>
      <c r="Z138" s="577"/>
      <c r="AA138" s="577"/>
      <c r="AB138" s="577"/>
    </row>
    <row r="139" ht="12.75" customHeight="1">
      <c r="A139" s="577"/>
      <c r="B139" s="577"/>
      <c r="C139" s="577"/>
      <c r="D139" s="577"/>
      <c r="E139" s="577"/>
      <c r="F139" s="577"/>
      <c r="G139" s="577"/>
      <c r="H139" s="577"/>
      <c r="I139" s="577"/>
      <c r="J139" s="577"/>
      <c r="K139" s="577"/>
      <c r="L139" s="577"/>
      <c r="M139" s="577"/>
      <c r="N139" s="577"/>
      <c r="O139" s="577"/>
      <c r="P139" s="577"/>
      <c r="Q139" s="577"/>
      <c r="R139" s="577"/>
      <c r="S139" s="577"/>
      <c r="T139" s="577"/>
      <c r="U139" s="577"/>
      <c r="V139" s="577"/>
      <c r="W139" s="577"/>
      <c r="X139" s="577"/>
      <c r="Y139" s="577"/>
      <c r="Z139" s="577"/>
      <c r="AA139" s="577"/>
      <c r="AB139" s="577"/>
    </row>
    <row r="140" ht="12.75" customHeight="1">
      <c r="A140" s="577"/>
      <c r="B140" s="577"/>
      <c r="C140" s="577"/>
      <c r="D140" s="577"/>
      <c r="E140" s="577"/>
      <c r="F140" s="577"/>
      <c r="G140" s="577"/>
      <c r="H140" s="577"/>
      <c r="I140" s="577"/>
      <c r="J140" s="577"/>
      <c r="K140" s="577"/>
      <c r="L140" s="577"/>
      <c r="M140" s="577"/>
      <c r="N140" s="577"/>
      <c r="O140" s="577"/>
      <c r="P140" s="577"/>
      <c r="Q140" s="577"/>
      <c r="R140" s="577"/>
      <c r="S140" s="577"/>
      <c r="T140" s="577"/>
      <c r="U140" s="577"/>
      <c r="V140" s="577"/>
      <c r="W140" s="577"/>
      <c r="X140" s="577"/>
      <c r="Y140" s="577"/>
      <c r="Z140" s="577"/>
      <c r="AA140" s="577"/>
      <c r="AB140" s="577"/>
    </row>
    <row r="141" ht="12.75" customHeight="1">
      <c r="A141" s="577"/>
      <c r="B141" s="577"/>
      <c r="C141" s="577"/>
      <c r="D141" s="577"/>
      <c r="E141" s="577"/>
      <c r="F141" s="577"/>
      <c r="G141" s="577"/>
      <c r="H141" s="577"/>
      <c r="I141" s="577"/>
      <c r="J141" s="577"/>
      <c r="K141" s="577"/>
      <c r="L141" s="577"/>
      <c r="M141" s="577"/>
      <c r="N141" s="577"/>
      <c r="O141" s="577"/>
      <c r="P141" s="577"/>
      <c r="Q141" s="577"/>
      <c r="R141" s="577"/>
      <c r="S141" s="577"/>
      <c r="T141" s="577"/>
      <c r="U141" s="577"/>
      <c r="V141" s="577"/>
      <c r="W141" s="577"/>
      <c r="X141" s="577"/>
      <c r="Y141" s="577"/>
      <c r="Z141" s="577"/>
      <c r="AA141" s="577"/>
      <c r="AB141" s="577"/>
    </row>
    <row r="142" ht="12.75" customHeight="1">
      <c r="A142" s="577"/>
      <c r="B142" s="577"/>
      <c r="C142" s="577"/>
      <c r="D142" s="577"/>
      <c r="E142" s="577"/>
      <c r="F142" s="577"/>
      <c r="G142" s="577"/>
      <c r="H142" s="577"/>
      <c r="I142" s="577"/>
      <c r="J142" s="577"/>
      <c r="K142" s="577"/>
      <c r="L142" s="577"/>
      <c r="M142" s="577"/>
      <c r="N142" s="577"/>
      <c r="O142" s="577"/>
      <c r="P142" s="577"/>
      <c r="Q142" s="577"/>
      <c r="R142" s="577"/>
      <c r="S142" s="577"/>
      <c r="T142" s="577"/>
      <c r="U142" s="577"/>
      <c r="V142" s="577"/>
      <c r="W142" s="577"/>
      <c r="X142" s="577"/>
      <c r="Y142" s="577"/>
      <c r="Z142" s="577"/>
      <c r="AA142" s="577"/>
      <c r="AB142" s="577"/>
    </row>
    <row r="143" ht="12.75" customHeight="1">
      <c r="A143" s="577"/>
      <c r="B143" s="577"/>
      <c r="C143" s="577"/>
      <c r="D143" s="577"/>
      <c r="E143" s="577"/>
      <c r="F143" s="577"/>
      <c r="G143" s="577"/>
      <c r="H143" s="577"/>
      <c r="I143" s="577"/>
      <c r="J143" s="577"/>
      <c r="K143" s="577"/>
      <c r="L143" s="577"/>
      <c r="M143" s="577"/>
      <c r="N143" s="577"/>
      <c r="O143" s="577"/>
      <c r="P143" s="577"/>
      <c r="Q143" s="577"/>
      <c r="R143" s="577"/>
      <c r="S143" s="577"/>
      <c r="T143" s="577"/>
      <c r="U143" s="577"/>
      <c r="V143" s="577"/>
      <c r="W143" s="577"/>
      <c r="X143" s="577"/>
      <c r="Y143" s="577"/>
      <c r="Z143" s="577"/>
      <c r="AA143" s="577"/>
      <c r="AB143" s="577"/>
    </row>
    <row r="144" ht="12.75" customHeight="1">
      <c r="A144" s="577"/>
      <c r="B144" s="577"/>
      <c r="C144" s="577"/>
      <c r="D144" s="577"/>
      <c r="E144" s="577"/>
      <c r="F144" s="577"/>
      <c r="G144" s="577"/>
      <c r="H144" s="577"/>
      <c r="I144" s="577"/>
      <c r="J144" s="577"/>
      <c r="K144" s="577"/>
      <c r="L144" s="577"/>
      <c r="M144" s="577"/>
      <c r="N144" s="577"/>
      <c r="O144" s="577"/>
      <c r="P144" s="577"/>
      <c r="Q144" s="577"/>
      <c r="R144" s="577"/>
      <c r="S144" s="577"/>
      <c r="T144" s="577"/>
      <c r="U144" s="577"/>
      <c r="V144" s="577"/>
      <c r="W144" s="577"/>
      <c r="X144" s="577"/>
      <c r="Y144" s="577"/>
      <c r="Z144" s="577"/>
      <c r="AA144" s="577"/>
      <c r="AB144" s="577"/>
    </row>
    <row r="145" ht="12.75" customHeight="1">
      <c r="A145" s="577"/>
      <c r="B145" s="577"/>
      <c r="C145" s="577"/>
      <c r="D145" s="577"/>
      <c r="E145" s="577"/>
      <c r="F145" s="577"/>
      <c r="G145" s="577"/>
      <c r="H145" s="577"/>
      <c r="I145" s="577"/>
      <c r="J145" s="577"/>
      <c r="K145" s="577"/>
      <c r="L145" s="577"/>
      <c r="M145" s="577"/>
      <c r="N145" s="577"/>
      <c r="O145" s="577"/>
      <c r="P145" s="577"/>
      <c r="Q145" s="577"/>
      <c r="R145" s="577"/>
      <c r="S145" s="577"/>
      <c r="T145" s="577"/>
      <c r="U145" s="577"/>
      <c r="V145" s="577"/>
      <c r="W145" s="577"/>
      <c r="X145" s="577"/>
      <c r="Y145" s="577"/>
      <c r="Z145" s="577"/>
      <c r="AA145" s="577"/>
      <c r="AB145" s="577"/>
    </row>
    <row r="146" ht="12.75" customHeight="1">
      <c r="A146" s="577"/>
      <c r="B146" s="577"/>
      <c r="C146" s="577"/>
      <c r="D146" s="577"/>
      <c r="E146" s="577"/>
      <c r="F146" s="577"/>
      <c r="G146" s="577"/>
      <c r="H146" s="577"/>
      <c r="I146" s="577"/>
      <c r="J146" s="577"/>
      <c r="K146" s="577"/>
      <c r="L146" s="577"/>
      <c r="M146" s="577"/>
      <c r="N146" s="577"/>
      <c r="O146" s="577"/>
      <c r="P146" s="577"/>
      <c r="Q146" s="577"/>
      <c r="R146" s="577"/>
      <c r="S146" s="577"/>
      <c r="T146" s="577"/>
      <c r="U146" s="577"/>
      <c r="V146" s="577"/>
      <c r="W146" s="577"/>
      <c r="X146" s="577"/>
      <c r="Y146" s="577"/>
      <c r="Z146" s="577"/>
      <c r="AA146" s="577"/>
      <c r="AB146" s="577"/>
    </row>
    <row r="147" ht="12.75" customHeight="1">
      <c r="A147" s="577"/>
      <c r="B147" s="577"/>
      <c r="C147" s="577"/>
      <c r="D147" s="577"/>
      <c r="E147" s="577"/>
      <c r="F147" s="577"/>
      <c r="G147" s="577"/>
      <c r="H147" s="577"/>
      <c r="I147" s="577"/>
      <c r="J147" s="577"/>
      <c r="K147" s="577"/>
      <c r="L147" s="577"/>
      <c r="M147" s="577"/>
      <c r="N147" s="577"/>
      <c r="O147" s="577"/>
      <c r="P147" s="577"/>
      <c r="Q147" s="577"/>
      <c r="R147" s="577"/>
      <c r="S147" s="577"/>
      <c r="T147" s="577"/>
      <c r="U147" s="577"/>
      <c r="V147" s="577"/>
      <c r="W147" s="577"/>
      <c r="X147" s="577"/>
      <c r="Y147" s="577"/>
      <c r="Z147" s="577"/>
      <c r="AA147" s="577"/>
      <c r="AB147" s="577"/>
    </row>
    <row r="148" ht="12.75" customHeight="1">
      <c r="A148" s="577"/>
      <c r="B148" s="577"/>
      <c r="C148" s="577"/>
      <c r="D148" s="577"/>
      <c r="E148" s="577"/>
      <c r="F148" s="577"/>
      <c r="G148" s="577"/>
      <c r="H148" s="577"/>
      <c r="I148" s="577"/>
      <c r="J148" s="577"/>
      <c r="K148" s="577"/>
      <c r="L148" s="577"/>
      <c r="M148" s="577"/>
      <c r="N148" s="577"/>
      <c r="O148" s="577"/>
      <c r="P148" s="577"/>
      <c r="Q148" s="577"/>
      <c r="R148" s="577"/>
      <c r="S148" s="577"/>
      <c r="T148" s="577"/>
      <c r="U148" s="577"/>
      <c r="V148" s="577"/>
      <c r="W148" s="577"/>
      <c r="X148" s="577"/>
      <c r="Y148" s="577"/>
      <c r="Z148" s="577"/>
      <c r="AA148" s="577"/>
      <c r="AB148" s="577"/>
    </row>
    <row r="149" ht="12.75" customHeight="1">
      <c r="A149" s="577"/>
      <c r="B149" s="577"/>
      <c r="C149" s="577"/>
      <c r="D149" s="577"/>
      <c r="E149" s="577"/>
      <c r="F149" s="577"/>
      <c r="G149" s="577"/>
      <c r="H149" s="577"/>
      <c r="I149" s="577"/>
      <c r="J149" s="577"/>
      <c r="K149" s="577"/>
      <c r="L149" s="577"/>
      <c r="M149" s="577"/>
      <c r="N149" s="577"/>
      <c r="O149" s="577"/>
      <c r="P149" s="577"/>
      <c r="Q149" s="577"/>
      <c r="R149" s="577"/>
      <c r="S149" s="577"/>
      <c r="T149" s="577"/>
      <c r="U149" s="577"/>
      <c r="V149" s="577"/>
      <c r="W149" s="577"/>
      <c r="X149" s="577"/>
      <c r="Y149" s="577"/>
      <c r="Z149" s="577"/>
      <c r="AA149" s="577"/>
      <c r="AB149" s="577"/>
    </row>
    <row r="150" ht="12.75" customHeight="1">
      <c r="A150" s="577"/>
      <c r="B150" s="577"/>
      <c r="C150" s="577"/>
      <c r="D150" s="577"/>
      <c r="E150" s="577"/>
      <c r="F150" s="577"/>
      <c r="G150" s="577"/>
      <c r="H150" s="577"/>
      <c r="I150" s="577"/>
      <c r="J150" s="577"/>
      <c r="K150" s="577"/>
      <c r="L150" s="577"/>
      <c r="M150" s="577"/>
      <c r="N150" s="577"/>
      <c r="O150" s="577"/>
      <c r="P150" s="577"/>
      <c r="Q150" s="577"/>
      <c r="R150" s="577"/>
      <c r="S150" s="577"/>
      <c r="T150" s="577"/>
      <c r="U150" s="577"/>
      <c r="V150" s="577"/>
      <c r="W150" s="577"/>
      <c r="X150" s="577"/>
      <c r="Y150" s="577"/>
      <c r="Z150" s="577"/>
      <c r="AA150" s="577"/>
      <c r="AB150" s="577"/>
    </row>
    <row r="151" ht="12.75" customHeight="1">
      <c r="A151" s="577"/>
      <c r="B151" s="577"/>
      <c r="C151" s="577"/>
      <c r="D151" s="577"/>
      <c r="E151" s="577"/>
      <c r="F151" s="577"/>
      <c r="G151" s="577"/>
      <c r="H151" s="577"/>
      <c r="I151" s="577"/>
      <c r="J151" s="577"/>
      <c r="K151" s="577"/>
      <c r="L151" s="577"/>
      <c r="M151" s="577"/>
      <c r="N151" s="577"/>
      <c r="O151" s="577"/>
      <c r="P151" s="577"/>
      <c r="Q151" s="577"/>
      <c r="R151" s="577"/>
      <c r="S151" s="577"/>
      <c r="T151" s="577"/>
      <c r="U151" s="577"/>
      <c r="V151" s="577"/>
      <c r="W151" s="577"/>
      <c r="X151" s="577"/>
      <c r="Y151" s="577"/>
      <c r="Z151" s="577"/>
      <c r="AA151" s="577"/>
      <c r="AB151" s="577"/>
    </row>
    <row r="152" ht="12.75" customHeight="1">
      <c r="A152" s="577"/>
      <c r="B152" s="577"/>
      <c r="C152" s="577"/>
      <c r="D152" s="577"/>
      <c r="E152" s="577"/>
      <c r="F152" s="577"/>
      <c r="G152" s="577"/>
      <c r="H152" s="577"/>
      <c r="I152" s="577"/>
      <c r="J152" s="577"/>
      <c r="K152" s="577"/>
      <c r="L152" s="577"/>
      <c r="M152" s="577"/>
      <c r="N152" s="577"/>
      <c r="O152" s="577"/>
      <c r="P152" s="577"/>
      <c r="Q152" s="577"/>
      <c r="R152" s="577"/>
      <c r="S152" s="577"/>
      <c r="T152" s="577"/>
      <c r="U152" s="577"/>
      <c r="V152" s="577"/>
      <c r="W152" s="577"/>
      <c r="X152" s="577"/>
      <c r="Y152" s="577"/>
      <c r="Z152" s="577"/>
      <c r="AA152" s="577"/>
      <c r="AB152" s="577"/>
    </row>
    <row r="153" ht="12.75" customHeight="1">
      <c r="A153" s="577"/>
      <c r="B153" s="577"/>
      <c r="C153" s="577"/>
      <c r="D153" s="577"/>
      <c r="E153" s="577"/>
      <c r="F153" s="577"/>
      <c r="G153" s="577"/>
      <c r="H153" s="577"/>
      <c r="I153" s="577"/>
      <c r="J153" s="577"/>
      <c r="K153" s="577"/>
      <c r="L153" s="577"/>
      <c r="M153" s="577"/>
      <c r="N153" s="577"/>
      <c r="O153" s="577"/>
      <c r="P153" s="577"/>
      <c r="Q153" s="577"/>
      <c r="R153" s="577"/>
      <c r="S153" s="577"/>
      <c r="T153" s="577"/>
      <c r="U153" s="577"/>
      <c r="V153" s="577"/>
      <c r="W153" s="577"/>
      <c r="X153" s="577"/>
      <c r="Y153" s="577"/>
      <c r="Z153" s="577"/>
      <c r="AA153" s="577"/>
      <c r="AB153" s="577"/>
    </row>
    <row r="154" ht="12.75" customHeight="1">
      <c r="A154" s="577"/>
      <c r="B154" s="577"/>
      <c r="C154" s="577"/>
      <c r="D154" s="577"/>
      <c r="E154" s="577"/>
      <c r="F154" s="577"/>
      <c r="G154" s="577"/>
      <c r="H154" s="577"/>
      <c r="I154" s="577"/>
      <c r="J154" s="577"/>
      <c r="K154" s="577"/>
      <c r="L154" s="577"/>
      <c r="M154" s="577"/>
      <c r="N154" s="577"/>
      <c r="O154" s="577"/>
      <c r="P154" s="577"/>
      <c r="Q154" s="577"/>
      <c r="R154" s="577"/>
      <c r="S154" s="577"/>
      <c r="T154" s="577"/>
      <c r="U154" s="577"/>
      <c r="V154" s="577"/>
      <c r="W154" s="577"/>
      <c r="X154" s="577"/>
      <c r="Y154" s="577"/>
      <c r="Z154" s="577"/>
      <c r="AA154" s="577"/>
      <c r="AB154" s="577"/>
    </row>
    <row r="155" ht="12.75" customHeight="1">
      <c r="A155" s="577"/>
      <c r="B155" s="577"/>
      <c r="C155" s="577"/>
      <c r="D155" s="577"/>
      <c r="E155" s="577"/>
      <c r="F155" s="577"/>
      <c r="G155" s="577"/>
      <c r="H155" s="577"/>
      <c r="I155" s="577"/>
      <c r="J155" s="577"/>
      <c r="K155" s="577"/>
      <c r="L155" s="577"/>
      <c r="M155" s="577"/>
      <c r="N155" s="577"/>
      <c r="O155" s="577"/>
      <c r="P155" s="577"/>
      <c r="Q155" s="577"/>
      <c r="R155" s="577"/>
      <c r="S155" s="577"/>
      <c r="T155" s="577"/>
      <c r="U155" s="577"/>
      <c r="V155" s="577"/>
      <c r="W155" s="577"/>
      <c r="X155" s="577"/>
      <c r="Y155" s="577"/>
      <c r="Z155" s="577"/>
      <c r="AA155" s="577"/>
      <c r="AB155" s="577"/>
    </row>
    <row r="156" ht="12.75" customHeight="1">
      <c r="A156" s="577"/>
      <c r="B156" s="577"/>
      <c r="C156" s="577"/>
      <c r="D156" s="577"/>
      <c r="E156" s="577"/>
      <c r="F156" s="577"/>
      <c r="G156" s="577"/>
      <c r="H156" s="577"/>
      <c r="I156" s="577"/>
      <c r="J156" s="577"/>
      <c r="K156" s="577"/>
      <c r="L156" s="577"/>
      <c r="M156" s="577"/>
      <c r="N156" s="577"/>
      <c r="O156" s="577"/>
      <c r="P156" s="577"/>
      <c r="Q156" s="577"/>
      <c r="R156" s="577"/>
      <c r="S156" s="577"/>
      <c r="T156" s="577"/>
      <c r="U156" s="577"/>
      <c r="V156" s="577"/>
      <c r="W156" s="577"/>
      <c r="X156" s="577"/>
      <c r="Y156" s="577"/>
      <c r="Z156" s="577"/>
      <c r="AA156" s="577"/>
      <c r="AB156" s="577"/>
    </row>
    <row r="157" ht="12.75" customHeight="1">
      <c r="A157" s="577"/>
      <c r="B157" s="577"/>
      <c r="C157" s="577"/>
      <c r="D157" s="577"/>
      <c r="E157" s="577"/>
      <c r="F157" s="577"/>
      <c r="G157" s="577"/>
      <c r="H157" s="577"/>
      <c r="I157" s="577"/>
      <c r="J157" s="577"/>
      <c r="K157" s="577"/>
      <c r="L157" s="577"/>
      <c r="M157" s="577"/>
      <c r="N157" s="577"/>
      <c r="O157" s="577"/>
      <c r="P157" s="577"/>
      <c r="Q157" s="577"/>
      <c r="R157" s="577"/>
      <c r="S157" s="577"/>
      <c r="T157" s="577"/>
      <c r="U157" s="577"/>
      <c r="V157" s="577"/>
      <c r="W157" s="577"/>
      <c r="X157" s="577"/>
      <c r="Y157" s="577"/>
      <c r="Z157" s="577"/>
      <c r="AA157" s="577"/>
      <c r="AB157" s="577"/>
    </row>
    <row r="158" ht="12.75" customHeight="1">
      <c r="A158" s="577"/>
      <c r="B158" s="577"/>
      <c r="C158" s="577"/>
      <c r="D158" s="577"/>
      <c r="E158" s="577"/>
      <c r="F158" s="577"/>
      <c r="G158" s="577"/>
      <c r="H158" s="577"/>
      <c r="I158" s="577"/>
      <c r="J158" s="577"/>
      <c r="K158" s="577"/>
      <c r="L158" s="577"/>
      <c r="M158" s="577"/>
      <c r="N158" s="577"/>
      <c r="O158" s="577"/>
      <c r="P158" s="577"/>
      <c r="Q158" s="577"/>
      <c r="R158" s="577"/>
      <c r="S158" s="577"/>
      <c r="T158" s="577"/>
      <c r="U158" s="577"/>
      <c r="V158" s="577"/>
      <c r="W158" s="577"/>
      <c r="X158" s="577"/>
      <c r="Y158" s="577"/>
      <c r="Z158" s="577"/>
      <c r="AA158" s="577"/>
      <c r="AB158" s="577"/>
    </row>
    <row r="159" ht="12.75" customHeight="1">
      <c r="A159" s="577"/>
      <c r="B159" s="577"/>
      <c r="C159" s="577"/>
      <c r="D159" s="577"/>
      <c r="E159" s="577"/>
      <c r="F159" s="577"/>
      <c r="G159" s="577"/>
      <c r="H159" s="577"/>
      <c r="I159" s="577"/>
      <c r="J159" s="577"/>
      <c r="K159" s="577"/>
      <c r="L159" s="577"/>
      <c r="M159" s="577"/>
      <c r="N159" s="577"/>
      <c r="O159" s="577"/>
      <c r="P159" s="577"/>
      <c r="Q159" s="577"/>
      <c r="R159" s="577"/>
      <c r="S159" s="577"/>
      <c r="T159" s="577"/>
      <c r="U159" s="577"/>
      <c r="V159" s="577"/>
      <c r="W159" s="577"/>
      <c r="X159" s="577"/>
      <c r="Y159" s="577"/>
      <c r="Z159" s="577"/>
      <c r="AA159" s="577"/>
      <c r="AB159" s="577"/>
    </row>
    <row r="160" ht="12.75" customHeight="1">
      <c r="A160" s="577"/>
      <c r="B160" s="577"/>
      <c r="C160" s="577"/>
      <c r="D160" s="577"/>
      <c r="E160" s="577"/>
      <c r="F160" s="577"/>
      <c r="G160" s="577"/>
      <c r="H160" s="577"/>
      <c r="I160" s="577"/>
      <c r="J160" s="577"/>
      <c r="K160" s="577"/>
      <c r="L160" s="577"/>
      <c r="M160" s="577"/>
      <c r="N160" s="577"/>
      <c r="O160" s="577"/>
      <c r="P160" s="577"/>
      <c r="Q160" s="577"/>
      <c r="R160" s="577"/>
      <c r="S160" s="577"/>
      <c r="T160" s="577"/>
      <c r="U160" s="577"/>
      <c r="V160" s="577"/>
      <c r="W160" s="577"/>
      <c r="X160" s="577"/>
      <c r="Y160" s="577"/>
      <c r="Z160" s="577"/>
      <c r="AA160" s="577"/>
      <c r="AB160" s="577"/>
    </row>
    <row r="161" ht="12.75" customHeight="1">
      <c r="A161" s="577"/>
      <c r="B161" s="577"/>
      <c r="C161" s="577"/>
      <c r="D161" s="577"/>
      <c r="E161" s="577"/>
      <c r="F161" s="577"/>
      <c r="G161" s="577"/>
      <c r="H161" s="577"/>
      <c r="I161" s="577"/>
      <c r="J161" s="577"/>
      <c r="K161" s="577"/>
      <c r="L161" s="577"/>
      <c r="M161" s="577"/>
      <c r="N161" s="577"/>
      <c r="O161" s="577"/>
      <c r="P161" s="577"/>
      <c r="Q161" s="577"/>
      <c r="R161" s="577"/>
      <c r="S161" s="577"/>
      <c r="T161" s="577"/>
      <c r="U161" s="577"/>
      <c r="V161" s="577"/>
      <c r="W161" s="577"/>
      <c r="X161" s="577"/>
      <c r="Y161" s="577"/>
      <c r="Z161" s="577"/>
      <c r="AA161" s="577"/>
      <c r="AB161" s="577"/>
    </row>
    <row r="162" ht="12.75" customHeight="1">
      <c r="A162" s="577"/>
      <c r="B162" s="577"/>
      <c r="C162" s="577"/>
      <c r="D162" s="577"/>
      <c r="E162" s="577"/>
      <c r="F162" s="577"/>
      <c r="G162" s="577"/>
      <c r="H162" s="577"/>
      <c r="I162" s="577"/>
      <c r="J162" s="577"/>
      <c r="K162" s="577"/>
      <c r="L162" s="577"/>
      <c r="M162" s="577"/>
      <c r="N162" s="577"/>
      <c r="O162" s="577"/>
      <c r="P162" s="577"/>
      <c r="Q162" s="577"/>
      <c r="R162" s="577"/>
      <c r="S162" s="577"/>
      <c r="T162" s="577"/>
      <c r="U162" s="577"/>
      <c r="V162" s="577"/>
      <c r="W162" s="577"/>
      <c r="X162" s="577"/>
      <c r="Y162" s="577"/>
      <c r="Z162" s="577"/>
      <c r="AA162" s="577"/>
      <c r="AB162" s="577"/>
    </row>
    <row r="163" ht="12.75" customHeight="1">
      <c r="A163" s="577"/>
      <c r="B163" s="577"/>
      <c r="C163" s="577"/>
      <c r="D163" s="577"/>
      <c r="E163" s="577"/>
      <c r="F163" s="577"/>
      <c r="G163" s="577"/>
      <c r="H163" s="577"/>
      <c r="I163" s="577"/>
      <c r="J163" s="577"/>
      <c r="K163" s="577"/>
      <c r="L163" s="577"/>
      <c r="M163" s="577"/>
      <c r="N163" s="577"/>
      <c r="O163" s="577"/>
      <c r="P163" s="577"/>
      <c r="Q163" s="577"/>
      <c r="R163" s="577"/>
      <c r="S163" s="577"/>
      <c r="T163" s="577"/>
      <c r="U163" s="577"/>
      <c r="V163" s="577"/>
      <c r="W163" s="577"/>
      <c r="X163" s="577"/>
      <c r="Y163" s="577"/>
      <c r="Z163" s="577"/>
      <c r="AA163" s="577"/>
      <c r="AB163" s="577"/>
    </row>
    <row r="164" ht="12.75" customHeight="1">
      <c r="A164" s="577"/>
      <c r="B164" s="577"/>
      <c r="C164" s="577"/>
      <c r="D164" s="577"/>
      <c r="E164" s="577"/>
      <c r="F164" s="577"/>
      <c r="G164" s="577"/>
      <c r="H164" s="577"/>
      <c r="I164" s="577"/>
      <c r="J164" s="577"/>
      <c r="K164" s="577"/>
      <c r="L164" s="577"/>
      <c r="M164" s="577"/>
      <c r="N164" s="577"/>
      <c r="O164" s="577"/>
      <c r="P164" s="577"/>
      <c r="Q164" s="577"/>
      <c r="R164" s="577"/>
      <c r="S164" s="577"/>
      <c r="T164" s="577"/>
      <c r="U164" s="577"/>
      <c r="V164" s="577"/>
      <c r="W164" s="577"/>
      <c r="X164" s="577"/>
      <c r="Y164" s="577"/>
      <c r="Z164" s="577"/>
      <c r="AA164" s="577"/>
      <c r="AB164" s="577"/>
    </row>
    <row r="165" ht="12.75" customHeight="1">
      <c r="A165" s="577"/>
      <c r="B165" s="577"/>
      <c r="C165" s="577"/>
      <c r="D165" s="577"/>
      <c r="E165" s="577"/>
      <c r="F165" s="577"/>
      <c r="G165" s="577"/>
      <c r="H165" s="577"/>
      <c r="I165" s="577"/>
      <c r="J165" s="577"/>
      <c r="K165" s="577"/>
      <c r="L165" s="577"/>
      <c r="M165" s="577"/>
      <c r="N165" s="577"/>
      <c r="O165" s="577"/>
      <c r="P165" s="577"/>
      <c r="Q165" s="577"/>
      <c r="R165" s="577"/>
      <c r="S165" s="577"/>
      <c r="T165" s="577"/>
      <c r="U165" s="577"/>
      <c r="V165" s="577"/>
      <c r="W165" s="577"/>
      <c r="X165" s="577"/>
      <c r="Y165" s="577"/>
      <c r="Z165" s="577"/>
      <c r="AA165" s="577"/>
      <c r="AB165" s="577"/>
    </row>
    <row r="166" ht="12.75" customHeight="1">
      <c r="A166" s="577"/>
      <c r="B166" s="577"/>
      <c r="C166" s="577"/>
      <c r="D166" s="577"/>
      <c r="E166" s="577"/>
      <c r="F166" s="577"/>
      <c r="G166" s="577"/>
      <c r="H166" s="577"/>
      <c r="I166" s="577"/>
      <c r="J166" s="577"/>
      <c r="K166" s="577"/>
      <c r="L166" s="577"/>
      <c r="M166" s="577"/>
      <c r="N166" s="577"/>
      <c r="O166" s="577"/>
      <c r="P166" s="577"/>
      <c r="Q166" s="577"/>
      <c r="R166" s="577"/>
      <c r="S166" s="577"/>
      <c r="T166" s="577"/>
      <c r="U166" s="577"/>
      <c r="V166" s="577"/>
      <c r="W166" s="577"/>
      <c r="X166" s="577"/>
      <c r="Y166" s="577"/>
      <c r="Z166" s="577"/>
      <c r="AA166" s="577"/>
      <c r="AB166" s="577"/>
    </row>
    <row r="167" ht="12.75" customHeight="1">
      <c r="A167" s="577"/>
      <c r="B167" s="577"/>
      <c r="C167" s="577"/>
      <c r="D167" s="577"/>
      <c r="E167" s="577"/>
      <c r="F167" s="577"/>
      <c r="G167" s="577"/>
      <c r="H167" s="577"/>
      <c r="I167" s="577"/>
      <c r="J167" s="577"/>
      <c r="K167" s="577"/>
      <c r="L167" s="577"/>
      <c r="M167" s="577"/>
      <c r="N167" s="577"/>
      <c r="O167" s="577"/>
      <c r="P167" s="577"/>
      <c r="Q167" s="577"/>
      <c r="R167" s="577"/>
      <c r="S167" s="577"/>
      <c r="T167" s="577"/>
      <c r="U167" s="577"/>
      <c r="V167" s="577"/>
      <c r="W167" s="577"/>
      <c r="X167" s="577"/>
      <c r="Y167" s="577"/>
      <c r="Z167" s="577"/>
      <c r="AA167" s="577"/>
      <c r="AB167" s="577"/>
    </row>
    <row r="168" ht="12.75" customHeight="1">
      <c r="A168" s="577"/>
      <c r="B168" s="577"/>
      <c r="C168" s="577"/>
      <c r="D168" s="577"/>
      <c r="E168" s="577"/>
      <c r="F168" s="577"/>
      <c r="G168" s="577"/>
      <c r="H168" s="577"/>
      <c r="I168" s="577"/>
      <c r="J168" s="577"/>
      <c r="K168" s="577"/>
      <c r="L168" s="577"/>
      <c r="M168" s="577"/>
      <c r="N168" s="577"/>
      <c r="O168" s="577"/>
      <c r="P168" s="577"/>
      <c r="Q168" s="577"/>
      <c r="R168" s="577"/>
      <c r="S168" s="577"/>
      <c r="T168" s="577"/>
      <c r="U168" s="577"/>
      <c r="V168" s="577"/>
      <c r="W168" s="577"/>
      <c r="X168" s="577"/>
      <c r="Y168" s="577"/>
      <c r="Z168" s="577"/>
      <c r="AA168" s="577"/>
      <c r="AB168" s="577"/>
    </row>
    <row r="169" ht="12.75" customHeight="1">
      <c r="A169" s="577"/>
      <c r="B169" s="577"/>
      <c r="C169" s="577"/>
      <c r="D169" s="577"/>
      <c r="E169" s="577"/>
      <c r="F169" s="577"/>
      <c r="G169" s="577"/>
      <c r="H169" s="577"/>
      <c r="I169" s="577"/>
      <c r="J169" s="577"/>
      <c r="K169" s="577"/>
      <c r="L169" s="577"/>
      <c r="M169" s="577"/>
      <c r="N169" s="577"/>
      <c r="O169" s="577"/>
      <c r="P169" s="577"/>
      <c r="Q169" s="577"/>
      <c r="R169" s="577"/>
      <c r="S169" s="577"/>
      <c r="T169" s="577"/>
      <c r="U169" s="577"/>
      <c r="V169" s="577"/>
      <c r="W169" s="577"/>
      <c r="X169" s="577"/>
      <c r="Y169" s="577"/>
      <c r="Z169" s="577"/>
      <c r="AA169" s="577"/>
      <c r="AB169" s="577"/>
    </row>
    <row r="170" ht="12.75" customHeight="1">
      <c r="A170" s="577"/>
      <c r="B170" s="577"/>
      <c r="C170" s="577"/>
      <c r="D170" s="577"/>
      <c r="E170" s="577"/>
      <c r="F170" s="577"/>
      <c r="G170" s="577"/>
      <c r="H170" s="577"/>
      <c r="I170" s="577"/>
      <c r="J170" s="577"/>
      <c r="K170" s="577"/>
      <c r="L170" s="577"/>
      <c r="M170" s="577"/>
      <c r="N170" s="577"/>
      <c r="O170" s="577"/>
      <c r="P170" s="577"/>
      <c r="Q170" s="577"/>
      <c r="R170" s="577"/>
      <c r="S170" s="577"/>
      <c r="T170" s="577"/>
      <c r="U170" s="577"/>
      <c r="V170" s="577"/>
      <c r="W170" s="577"/>
      <c r="X170" s="577"/>
      <c r="Y170" s="577"/>
      <c r="Z170" s="577"/>
      <c r="AA170" s="577"/>
      <c r="AB170" s="577"/>
    </row>
    <row r="171" ht="12.75" customHeight="1">
      <c r="A171" s="577"/>
      <c r="B171" s="577"/>
      <c r="C171" s="577"/>
      <c r="D171" s="577"/>
      <c r="E171" s="577"/>
      <c r="F171" s="577"/>
      <c r="G171" s="577"/>
      <c r="H171" s="577"/>
      <c r="I171" s="577"/>
      <c r="J171" s="577"/>
      <c r="K171" s="577"/>
      <c r="L171" s="577"/>
      <c r="M171" s="577"/>
      <c r="N171" s="577"/>
      <c r="O171" s="577"/>
      <c r="P171" s="577"/>
      <c r="Q171" s="577"/>
      <c r="R171" s="577"/>
      <c r="S171" s="577"/>
      <c r="T171" s="577"/>
      <c r="U171" s="577"/>
      <c r="V171" s="577"/>
      <c r="W171" s="577"/>
      <c r="X171" s="577"/>
      <c r="Y171" s="577"/>
      <c r="Z171" s="577"/>
      <c r="AA171" s="577"/>
      <c r="AB171" s="577"/>
    </row>
    <row r="172" ht="12.75" customHeight="1">
      <c r="A172" s="577"/>
      <c r="B172" s="577"/>
      <c r="C172" s="577"/>
      <c r="D172" s="577"/>
      <c r="E172" s="577"/>
      <c r="F172" s="577"/>
      <c r="G172" s="577"/>
      <c r="H172" s="577"/>
      <c r="I172" s="577"/>
      <c r="J172" s="577"/>
      <c r="K172" s="577"/>
      <c r="L172" s="577"/>
      <c r="M172" s="577"/>
      <c r="N172" s="577"/>
      <c r="O172" s="577"/>
      <c r="P172" s="577"/>
      <c r="Q172" s="577"/>
      <c r="R172" s="577"/>
      <c r="S172" s="577"/>
      <c r="T172" s="577"/>
      <c r="U172" s="577"/>
      <c r="V172" s="577"/>
      <c r="W172" s="577"/>
      <c r="X172" s="577"/>
      <c r="Y172" s="577"/>
      <c r="Z172" s="577"/>
      <c r="AA172" s="577"/>
      <c r="AB172" s="577"/>
    </row>
    <row r="173" ht="12.75" customHeight="1">
      <c r="A173" s="577"/>
      <c r="B173" s="577"/>
      <c r="C173" s="577"/>
      <c r="D173" s="577"/>
      <c r="E173" s="577"/>
      <c r="F173" s="577"/>
      <c r="G173" s="577"/>
      <c r="H173" s="577"/>
      <c r="I173" s="577"/>
      <c r="J173" s="577"/>
      <c r="K173" s="577"/>
      <c r="L173" s="577"/>
      <c r="M173" s="577"/>
      <c r="N173" s="577"/>
      <c r="O173" s="577"/>
      <c r="P173" s="577"/>
      <c r="Q173" s="577"/>
      <c r="R173" s="577"/>
      <c r="S173" s="577"/>
      <c r="T173" s="577"/>
      <c r="U173" s="577"/>
      <c r="V173" s="577"/>
      <c r="W173" s="577"/>
      <c r="X173" s="577"/>
      <c r="Y173" s="577"/>
      <c r="Z173" s="577"/>
      <c r="AA173" s="577"/>
      <c r="AB173" s="577"/>
    </row>
    <row r="174" ht="12.75" customHeight="1">
      <c r="A174" s="577"/>
      <c r="B174" s="577"/>
      <c r="C174" s="577"/>
      <c r="D174" s="577"/>
      <c r="E174" s="577"/>
      <c r="F174" s="577"/>
      <c r="G174" s="577"/>
      <c r="H174" s="577"/>
      <c r="I174" s="577"/>
      <c r="J174" s="577"/>
      <c r="K174" s="577"/>
      <c r="L174" s="577"/>
      <c r="M174" s="577"/>
      <c r="N174" s="577"/>
      <c r="O174" s="577"/>
      <c r="P174" s="577"/>
      <c r="Q174" s="577"/>
      <c r="R174" s="577"/>
      <c r="S174" s="577"/>
      <c r="T174" s="577"/>
      <c r="U174" s="577"/>
      <c r="V174" s="577"/>
      <c r="W174" s="577"/>
      <c r="X174" s="577"/>
      <c r="Y174" s="577"/>
      <c r="Z174" s="577"/>
      <c r="AA174" s="577"/>
      <c r="AB174" s="577"/>
    </row>
    <row r="175" ht="12.75" customHeight="1">
      <c r="A175" s="577"/>
      <c r="B175" s="577"/>
      <c r="C175" s="577"/>
      <c r="D175" s="577"/>
      <c r="E175" s="577"/>
      <c r="F175" s="577"/>
      <c r="G175" s="577"/>
      <c r="H175" s="577"/>
      <c r="I175" s="577"/>
      <c r="J175" s="577"/>
      <c r="K175" s="577"/>
      <c r="L175" s="577"/>
      <c r="M175" s="577"/>
      <c r="N175" s="577"/>
      <c r="O175" s="577"/>
      <c r="P175" s="577"/>
      <c r="Q175" s="577"/>
      <c r="R175" s="577"/>
      <c r="S175" s="577"/>
      <c r="T175" s="577"/>
      <c r="U175" s="577"/>
      <c r="V175" s="577"/>
      <c r="W175" s="577"/>
      <c r="X175" s="577"/>
      <c r="Y175" s="577"/>
      <c r="Z175" s="577"/>
      <c r="AA175" s="577"/>
      <c r="AB175" s="577"/>
    </row>
    <row r="176" ht="12.75" customHeight="1">
      <c r="A176" s="577"/>
      <c r="B176" s="577"/>
      <c r="C176" s="577"/>
      <c r="D176" s="577"/>
      <c r="E176" s="577"/>
      <c r="F176" s="577"/>
      <c r="G176" s="577"/>
      <c r="H176" s="577"/>
      <c r="I176" s="577"/>
      <c r="J176" s="577"/>
      <c r="K176" s="577"/>
      <c r="L176" s="577"/>
      <c r="M176" s="577"/>
      <c r="N176" s="577"/>
      <c r="O176" s="577"/>
      <c r="P176" s="577"/>
      <c r="Q176" s="577"/>
      <c r="R176" s="577"/>
      <c r="S176" s="577"/>
      <c r="T176" s="577"/>
      <c r="U176" s="577"/>
      <c r="V176" s="577"/>
      <c r="W176" s="577"/>
      <c r="X176" s="577"/>
      <c r="Y176" s="577"/>
      <c r="Z176" s="577"/>
      <c r="AA176" s="577"/>
      <c r="AB176" s="577"/>
    </row>
    <row r="177" ht="12.75" customHeight="1">
      <c r="A177" s="577"/>
      <c r="B177" s="577"/>
      <c r="C177" s="577"/>
      <c r="D177" s="577"/>
      <c r="E177" s="577"/>
      <c r="F177" s="577"/>
      <c r="G177" s="577"/>
      <c r="H177" s="577"/>
      <c r="I177" s="577"/>
      <c r="J177" s="577"/>
      <c r="K177" s="577"/>
      <c r="L177" s="577"/>
      <c r="M177" s="577"/>
      <c r="N177" s="577"/>
      <c r="O177" s="577"/>
      <c r="P177" s="577"/>
      <c r="Q177" s="577"/>
      <c r="R177" s="577"/>
      <c r="S177" s="577"/>
      <c r="T177" s="577"/>
      <c r="U177" s="577"/>
      <c r="V177" s="577"/>
      <c r="W177" s="577"/>
      <c r="X177" s="577"/>
      <c r="Y177" s="577"/>
      <c r="Z177" s="577"/>
      <c r="AA177" s="577"/>
      <c r="AB177" s="577"/>
    </row>
    <row r="178" ht="12.75" customHeight="1">
      <c r="A178" s="577"/>
      <c r="B178" s="577"/>
      <c r="C178" s="577"/>
      <c r="D178" s="577"/>
      <c r="E178" s="577"/>
      <c r="F178" s="577"/>
      <c r="G178" s="577"/>
      <c r="H178" s="577"/>
      <c r="I178" s="577"/>
      <c r="J178" s="577"/>
      <c r="K178" s="577"/>
      <c r="L178" s="577"/>
      <c r="M178" s="577"/>
      <c r="N178" s="577"/>
      <c r="O178" s="577"/>
      <c r="P178" s="577"/>
      <c r="Q178" s="577"/>
      <c r="R178" s="577"/>
      <c r="S178" s="577"/>
      <c r="T178" s="577"/>
      <c r="U178" s="577"/>
      <c r="V178" s="577"/>
      <c r="W178" s="577"/>
      <c r="X178" s="577"/>
      <c r="Y178" s="577"/>
      <c r="Z178" s="577"/>
      <c r="AA178" s="577"/>
      <c r="AB178" s="577"/>
    </row>
    <row r="179" ht="12.75" customHeight="1">
      <c r="A179" s="577"/>
      <c r="B179" s="577"/>
      <c r="C179" s="577"/>
      <c r="D179" s="577"/>
      <c r="E179" s="577"/>
      <c r="F179" s="577"/>
      <c r="G179" s="577"/>
      <c r="H179" s="577"/>
      <c r="I179" s="577"/>
      <c r="J179" s="577"/>
      <c r="K179" s="577"/>
      <c r="L179" s="577"/>
      <c r="M179" s="577"/>
      <c r="N179" s="577"/>
      <c r="O179" s="577"/>
      <c r="P179" s="577"/>
      <c r="Q179" s="577"/>
      <c r="R179" s="577"/>
      <c r="S179" s="577"/>
      <c r="T179" s="577"/>
      <c r="U179" s="577"/>
      <c r="V179" s="577"/>
      <c r="W179" s="577"/>
      <c r="X179" s="577"/>
      <c r="Y179" s="577"/>
      <c r="Z179" s="577"/>
      <c r="AA179" s="577"/>
      <c r="AB179" s="577"/>
    </row>
    <row r="180" ht="12.75" customHeight="1">
      <c r="A180" s="577"/>
      <c r="B180" s="577"/>
      <c r="C180" s="577"/>
      <c r="D180" s="577"/>
      <c r="E180" s="577"/>
      <c r="F180" s="577"/>
      <c r="G180" s="577"/>
      <c r="H180" s="577"/>
      <c r="I180" s="577"/>
      <c r="J180" s="577"/>
      <c r="K180" s="577"/>
      <c r="L180" s="577"/>
      <c r="M180" s="577"/>
      <c r="N180" s="577"/>
      <c r="O180" s="577"/>
      <c r="P180" s="577"/>
      <c r="Q180" s="577"/>
      <c r="R180" s="577"/>
      <c r="S180" s="577"/>
      <c r="T180" s="577"/>
      <c r="U180" s="577"/>
      <c r="V180" s="577"/>
      <c r="W180" s="577"/>
      <c r="X180" s="577"/>
      <c r="Y180" s="577"/>
      <c r="Z180" s="577"/>
      <c r="AA180" s="577"/>
      <c r="AB180" s="577"/>
    </row>
    <row r="181" ht="12.75" customHeight="1">
      <c r="A181" s="577"/>
      <c r="B181" s="577"/>
      <c r="C181" s="577"/>
      <c r="D181" s="577"/>
      <c r="E181" s="577"/>
      <c r="F181" s="577"/>
      <c r="G181" s="577"/>
      <c r="H181" s="577"/>
      <c r="I181" s="577"/>
      <c r="J181" s="577"/>
      <c r="K181" s="577"/>
      <c r="L181" s="577"/>
      <c r="M181" s="577"/>
      <c r="N181" s="577"/>
      <c r="O181" s="577"/>
      <c r="P181" s="577"/>
      <c r="Q181" s="577"/>
      <c r="R181" s="577"/>
      <c r="S181" s="577"/>
      <c r="T181" s="577"/>
      <c r="U181" s="577"/>
      <c r="V181" s="577"/>
      <c r="W181" s="577"/>
      <c r="X181" s="577"/>
      <c r="Y181" s="577"/>
      <c r="Z181" s="577"/>
      <c r="AA181" s="577"/>
      <c r="AB181" s="577"/>
    </row>
    <row r="182" ht="12.75" customHeight="1">
      <c r="A182" s="577"/>
      <c r="B182" s="577"/>
      <c r="C182" s="577"/>
      <c r="D182" s="577"/>
      <c r="E182" s="577"/>
      <c r="F182" s="577"/>
      <c r="G182" s="577"/>
      <c r="H182" s="577"/>
      <c r="I182" s="577"/>
      <c r="J182" s="577"/>
      <c r="K182" s="577"/>
      <c r="L182" s="577"/>
      <c r="M182" s="577"/>
      <c r="N182" s="577"/>
      <c r="O182" s="577"/>
      <c r="P182" s="577"/>
      <c r="Q182" s="577"/>
      <c r="R182" s="577"/>
      <c r="S182" s="577"/>
      <c r="T182" s="577"/>
      <c r="U182" s="577"/>
      <c r="V182" s="577"/>
      <c r="W182" s="577"/>
      <c r="X182" s="577"/>
      <c r="Y182" s="577"/>
      <c r="Z182" s="577"/>
      <c r="AA182" s="577"/>
      <c r="AB182" s="577"/>
    </row>
    <row r="183" ht="12.75" customHeight="1">
      <c r="A183" s="577"/>
      <c r="B183" s="577"/>
      <c r="C183" s="577"/>
      <c r="D183" s="577"/>
      <c r="E183" s="577"/>
      <c r="F183" s="577"/>
      <c r="G183" s="577"/>
      <c r="H183" s="577"/>
      <c r="I183" s="577"/>
      <c r="J183" s="577"/>
      <c r="K183" s="577"/>
      <c r="L183" s="577"/>
      <c r="M183" s="577"/>
      <c r="N183" s="577"/>
      <c r="O183" s="577"/>
      <c r="P183" s="577"/>
      <c r="Q183" s="577"/>
      <c r="R183" s="577"/>
      <c r="S183" s="577"/>
      <c r="T183" s="577"/>
      <c r="U183" s="577"/>
      <c r="V183" s="577"/>
      <c r="W183" s="577"/>
      <c r="X183" s="577"/>
      <c r="Y183" s="577"/>
      <c r="Z183" s="577"/>
      <c r="AA183" s="577"/>
      <c r="AB183" s="577"/>
    </row>
    <row r="184" ht="12.75" customHeight="1">
      <c r="A184" s="577"/>
      <c r="B184" s="577"/>
      <c r="C184" s="577"/>
      <c r="D184" s="577"/>
      <c r="E184" s="577"/>
      <c r="F184" s="577"/>
      <c r="G184" s="577"/>
      <c r="H184" s="577"/>
      <c r="I184" s="577"/>
      <c r="J184" s="577"/>
      <c r="K184" s="577"/>
      <c r="L184" s="577"/>
      <c r="M184" s="577"/>
      <c r="N184" s="577"/>
      <c r="O184" s="577"/>
      <c r="P184" s="577"/>
      <c r="Q184" s="577"/>
      <c r="R184" s="577"/>
      <c r="S184" s="577"/>
      <c r="T184" s="577"/>
      <c r="U184" s="577"/>
      <c r="V184" s="577"/>
      <c r="W184" s="577"/>
      <c r="X184" s="577"/>
      <c r="Y184" s="577"/>
      <c r="Z184" s="577"/>
      <c r="AA184" s="577"/>
      <c r="AB184" s="577"/>
    </row>
    <row r="185" ht="12.75" customHeight="1">
      <c r="A185" s="577"/>
      <c r="B185" s="577"/>
      <c r="C185" s="577"/>
      <c r="D185" s="577"/>
      <c r="E185" s="577"/>
      <c r="F185" s="577"/>
      <c r="G185" s="577"/>
      <c r="H185" s="577"/>
      <c r="I185" s="577"/>
      <c r="J185" s="577"/>
      <c r="K185" s="577"/>
      <c r="L185" s="577"/>
      <c r="M185" s="577"/>
      <c r="N185" s="577"/>
      <c r="O185" s="577"/>
      <c r="P185" s="577"/>
      <c r="Q185" s="577"/>
      <c r="R185" s="577"/>
      <c r="S185" s="577"/>
      <c r="T185" s="577"/>
      <c r="U185" s="577"/>
      <c r="V185" s="577"/>
      <c r="W185" s="577"/>
      <c r="X185" s="577"/>
      <c r="Y185" s="577"/>
      <c r="Z185" s="577"/>
      <c r="AA185" s="577"/>
      <c r="AB185" s="577"/>
    </row>
    <row r="186" ht="12.75" customHeight="1">
      <c r="A186" s="577"/>
      <c r="B186" s="577"/>
      <c r="C186" s="577"/>
      <c r="D186" s="577"/>
      <c r="E186" s="577"/>
      <c r="F186" s="577"/>
      <c r="G186" s="577"/>
      <c r="H186" s="577"/>
      <c r="I186" s="577"/>
      <c r="J186" s="577"/>
      <c r="K186" s="577"/>
      <c r="L186" s="577"/>
      <c r="M186" s="577"/>
      <c r="N186" s="577"/>
      <c r="O186" s="577"/>
      <c r="P186" s="577"/>
      <c r="Q186" s="577"/>
      <c r="R186" s="577"/>
      <c r="S186" s="577"/>
      <c r="T186" s="577"/>
      <c r="U186" s="577"/>
      <c r="V186" s="577"/>
      <c r="W186" s="577"/>
      <c r="X186" s="577"/>
      <c r="Y186" s="577"/>
      <c r="Z186" s="577"/>
      <c r="AA186" s="577"/>
      <c r="AB186" s="577"/>
    </row>
    <row r="187" ht="12.75" customHeight="1">
      <c r="A187" s="577"/>
      <c r="B187" s="577"/>
      <c r="C187" s="577"/>
      <c r="D187" s="577"/>
      <c r="E187" s="577"/>
      <c r="F187" s="577"/>
      <c r="G187" s="577"/>
      <c r="H187" s="577"/>
      <c r="I187" s="577"/>
      <c r="J187" s="577"/>
      <c r="K187" s="577"/>
      <c r="L187" s="577"/>
      <c r="M187" s="577"/>
      <c r="N187" s="577"/>
      <c r="O187" s="577"/>
      <c r="P187" s="577"/>
      <c r="Q187" s="577"/>
      <c r="R187" s="577"/>
      <c r="S187" s="577"/>
      <c r="T187" s="577"/>
      <c r="U187" s="577"/>
      <c r="V187" s="577"/>
      <c r="W187" s="577"/>
      <c r="X187" s="577"/>
      <c r="Y187" s="577"/>
      <c r="Z187" s="577"/>
      <c r="AA187" s="577"/>
      <c r="AB187" s="577"/>
    </row>
    <row r="188" ht="12.75" customHeight="1">
      <c r="A188" s="577"/>
      <c r="B188" s="577"/>
      <c r="C188" s="577"/>
      <c r="D188" s="577"/>
      <c r="E188" s="577"/>
      <c r="F188" s="577"/>
      <c r="G188" s="577"/>
      <c r="H188" s="577"/>
      <c r="I188" s="577"/>
      <c r="J188" s="577"/>
      <c r="K188" s="577"/>
      <c r="L188" s="577"/>
      <c r="M188" s="577"/>
      <c r="N188" s="577"/>
      <c r="O188" s="577"/>
      <c r="P188" s="577"/>
      <c r="Q188" s="577"/>
      <c r="R188" s="577"/>
      <c r="S188" s="577"/>
      <c r="T188" s="577"/>
      <c r="U188" s="577"/>
      <c r="V188" s="577"/>
      <c r="W188" s="577"/>
      <c r="X188" s="577"/>
      <c r="Y188" s="577"/>
      <c r="Z188" s="577"/>
      <c r="AA188" s="577"/>
      <c r="AB188" s="577"/>
    </row>
    <row r="189" ht="12.75" customHeight="1">
      <c r="A189" s="577"/>
      <c r="B189" s="577"/>
      <c r="C189" s="577"/>
      <c r="D189" s="577"/>
      <c r="E189" s="577"/>
      <c r="F189" s="577"/>
      <c r="G189" s="577"/>
      <c r="H189" s="577"/>
      <c r="I189" s="577"/>
      <c r="J189" s="577"/>
      <c r="K189" s="577"/>
      <c r="L189" s="577"/>
      <c r="M189" s="577"/>
      <c r="N189" s="577"/>
      <c r="O189" s="577"/>
      <c r="P189" s="577"/>
      <c r="Q189" s="577"/>
      <c r="R189" s="577"/>
      <c r="S189" s="577"/>
      <c r="T189" s="577"/>
      <c r="U189" s="577"/>
      <c r="V189" s="577"/>
      <c r="W189" s="577"/>
      <c r="X189" s="577"/>
      <c r="Y189" s="577"/>
      <c r="Z189" s="577"/>
      <c r="AA189" s="577"/>
      <c r="AB189" s="577"/>
    </row>
    <row r="190" ht="12.75" customHeight="1">
      <c r="A190" s="577"/>
      <c r="B190" s="577"/>
      <c r="C190" s="577"/>
      <c r="D190" s="577"/>
      <c r="E190" s="577"/>
      <c r="F190" s="577"/>
      <c r="G190" s="577"/>
      <c r="H190" s="577"/>
      <c r="I190" s="577"/>
      <c r="J190" s="577"/>
      <c r="K190" s="577"/>
      <c r="L190" s="577"/>
      <c r="M190" s="577"/>
      <c r="N190" s="577"/>
      <c r="O190" s="577"/>
      <c r="P190" s="577"/>
      <c r="Q190" s="577"/>
      <c r="R190" s="577"/>
      <c r="S190" s="577"/>
      <c r="T190" s="577"/>
      <c r="U190" s="577"/>
      <c r="V190" s="577"/>
      <c r="W190" s="577"/>
      <c r="X190" s="577"/>
      <c r="Y190" s="577"/>
      <c r="Z190" s="577"/>
      <c r="AA190" s="577"/>
      <c r="AB190" s="577"/>
    </row>
    <row r="191" ht="12.75" customHeight="1">
      <c r="A191" s="577"/>
      <c r="B191" s="577"/>
      <c r="C191" s="577"/>
      <c r="D191" s="577"/>
      <c r="E191" s="577"/>
      <c r="F191" s="577"/>
      <c r="G191" s="577"/>
      <c r="H191" s="577"/>
      <c r="I191" s="577"/>
      <c r="J191" s="577"/>
      <c r="K191" s="577"/>
      <c r="L191" s="577"/>
      <c r="M191" s="577"/>
      <c r="N191" s="577"/>
      <c r="O191" s="577"/>
      <c r="P191" s="577"/>
      <c r="Q191" s="577"/>
      <c r="R191" s="577"/>
      <c r="S191" s="577"/>
      <c r="T191" s="577"/>
      <c r="U191" s="577"/>
      <c r="V191" s="577"/>
      <c r="W191" s="577"/>
      <c r="X191" s="577"/>
      <c r="Y191" s="577"/>
      <c r="Z191" s="577"/>
      <c r="AA191" s="577"/>
      <c r="AB191" s="577"/>
    </row>
    <row r="192" ht="12.75" customHeight="1">
      <c r="A192" s="577"/>
      <c r="B192" s="577"/>
      <c r="C192" s="577"/>
      <c r="D192" s="577"/>
      <c r="E192" s="577"/>
      <c r="F192" s="577"/>
      <c r="G192" s="577"/>
      <c r="H192" s="577"/>
      <c r="I192" s="577"/>
      <c r="J192" s="577"/>
      <c r="K192" s="577"/>
      <c r="L192" s="577"/>
      <c r="M192" s="577"/>
      <c r="N192" s="577"/>
      <c r="O192" s="577"/>
      <c r="P192" s="577"/>
      <c r="Q192" s="577"/>
      <c r="R192" s="577"/>
      <c r="S192" s="577"/>
      <c r="T192" s="577"/>
      <c r="U192" s="577"/>
      <c r="V192" s="577"/>
      <c r="W192" s="577"/>
      <c r="X192" s="577"/>
      <c r="Y192" s="577"/>
      <c r="Z192" s="577"/>
      <c r="AA192" s="577"/>
      <c r="AB192" s="577"/>
    </row>
    <row r="193" ht="12.75" customHeight="1">
      <c r="A193" s="577"/>
      <c r="B193" s="577"/>
      <c r="C193" s="577"/>
      <c r="D193" s="577"/>
      <c r="E193" s="577"/>
      <c r="F193" s="577"/>
      <c r="G193" s="577"/>
      <c r="H193" s="577"/>
      <c r="I193" s="577"/>
      <c r="J193" s="577"/>
      <c r="K193" s="577"/>
      <c r="L193" s="577"/>
      <c r="M193" s="577"/>
      <c r="N193" s="577"/>
      <c r="O193" s="577"/>
      <c r="P193" s="577"/>
      <c r="Q193" s="577"/>
      <c r="R193" s="577"/>
      <c r="S193" s="577"/>
      <c r="T193" s="577"/>
      <c r="U193" s="577"/>
      <c r="V193" s="577"/>
      <c r="W193" s="577"/>
      <c r="X193" s="577"/>
      <c r="Y193" s="577"/>
      <c r="Z193" s="577"/>
      <c r="AA193" s="577"/>
      <c r="AB193" s="577"/>
    </row>
    <row r="194" ht="12.75" customHeight="1">
      <c r="A194" s="577"/>
      <c r="B194" s="577"/>
      <c r="C194" s="577"/>
      <c r="D194" s="577"/>
      <c r="E194" s="577"/>
      <c r="F194" s="577"/>
      <c r="G194" s="577"/>
      <c r="H194" s="577"/>
      <c r="I194" s="577"/>
      <c r="J194" s="577"/>
      <c r="K194" s="577"/>
      <c r="L194" s="577"/>
      <c r="M194" s="577"/>
      <c r="N194" s="577"/>
      <c r="O194" s="577"/>
      <c r="P194" s="577"/>
      <c r="Q194" s="577"/>
      <c r="R194" s="577"/>
      <c r="S194" s="577"/>
      <c r="T194" s="577"/>
      <c r="U194" s="577"/>
      <c r="V194" s="577"/>
      <c r="W194" s="577"/>
      <c r="X194" s="577"/>
      <c r="Y194" s="577"/>
      <c r="Z194" s="577"/>
      <c r="AA194" s="577"/>
      <c r="AB194" s="577"/>
    </row>
    <row r="195" ht="12.75" customHeight="1">
      <c r="A195" s="577"/>
      <c r="B195" s="577"/>
      <c r="C195" s="577"/>
      <c r="D195" s="577"/>
      <c r="E195" s="577"/>
      <c r="F195" s="577"/>
      <c r="G195" s="577"/>
      <c r="H195" s="577"/>
      <c r="I195" s="577"/>
      <c r="J195" s="577"/>
      <c r="K195" s="577"/>
      <c r="L195" s="577"/>
      <c r="M195" s="577"/>
      <c r="N195" s="577"/>
      <c r="O195" s="577"/>
      <c r="P195" s="577"/>
      <c r="Q195" s="577"/>
      <c r="R195" s="577"/>
      <c r="S195" s="577"/>
      <c r="T195" s="577"/>
      <c r="U195" s="577"/>
      <c r="V195" s="577"/>
      <c r="W195" s="577"/>
      <c r="X195" s="577"/>
      <c r="Y195" s="577"/>
      <c r="Z195" s="577"/>
      <c r="AA195" s="577"/>
      <c r="AB195" s="577"/>
    </row>
    <row r="196" ht="12.75" customHeight="1">
      <c r="A196" s="577"/>
      <c r="B196" s="577"/>
      <c r="C196" s="577"/>
      <c r="D196" s="577"/>
      <c r="E196" s="577"/>
      <c r="F196" s="577"/>
      <c r="G196" s="577"/>
      <c r="H196" s="577"/>
      <c r="I196" s="577"/>
      <c r="J196" s="577"/>
      <c r="K196" s="577"/>
      <c r="L196" s="577"/>
      <c r="M196" s="577"/>
      <c r="N196" s="577"/>
      <c r="O196" s="577"/>
      <c r="P196" s="577"/>
      <c r="Q196" s="577"/>
      <c r="R196" s="577"/>
      <c r="S196" s="577"/>
      <c r="T196" s="577"/>
      <c r="U196" s="577"/>
      <c r="V196" s="577"/>
      <c r="W196" s="577"/>
      <c r="X196" s="577"/>
      <c r="Y196" s="577"/>
      <c r="Z196" s="577"/>
      <c r="AA196" s="577"/>
      <c r="AB196" s="577"/>
    </row>
    <row r="197" ht="12.75" customHeight="1">
      <c r="A197" s="577"/>
      <c r="B197" s="577"/>
      <c r="C197" s="577"/>
      <c r="D197" s="577"/>
      <c r="E197" s="577"/>
      <c r="F197" s="577"/>
      <c r="G197" s="577"/>
      <c r="H197" s="577"/>
      <c r="I197" s="577"/>
      <c r="J197" s="577"/>
      <c r="K197" s="577"/>
      <c r="L197" s="577"/>
      <c r="M197" s="577"/>
      <c r="N197" s="577"/>
      <c r="O197" s="577"/>
      <c r="P197" s="577"/>
      <c r="Q197" s="577"/>
      <c r="R197" s="577"/>
      <c r="S197" s="577"/>
      <c r="T197" s="577"/>
      <c r="U197" s="577"/>
      <c r="V197" s="577"/>
      <c r="W197" s="577"/>
      <c r="X197" s="577"/>
      <c r="Y197" s="577"/>
      <c r="Z197" s="577"/>
      <c r="AA197" s="577"/>
      <c r="AB197" s="577"/>
    </row>
    <row r="198" ht="12.75" customHeight="1">
      <c r="A198" s="577"/>
      <c r="B198" s="577"/>
      <c r="C198" s="577"/>
      <c r="D198" s="577"/>
      <c r="E198" s="577"/>
      <c r="F198" s="577"/>
      <c r="G198" s="577"/>
      <c r="H198" s="577"/>
      <c r="I198" s="577"/>
      <c r="J198" s="577"/>
      <c r="K198" s="577"/>
      <c r="L198" s="577"/>
      <c r="M198" s="577"/>
      <c r="N198" s="577"/>
      <c r="O198" s="577"/>
      <c r="P198" s="577"/>
      <c r="Q198" s="577"/>
      <c r="R198" s="577"/>
      <c r="S198" s="577"/>
      <c r="T198" s="577"/>
      <c r="U198" s="577"/>
      <c r="V198" s="577"/>
      <c r="W198" s="577"/>
      <c r="X198" s="577"/>
      <c r="Y198" s="577"/>
      <c r="Z198" s="577"/>
      <c r="AA198" s="577"/>
      <c r="AB198" s="577"/>
    </row>
    <row r="199" ht="12.75" customHeight="1">
      <c r="A199" s="577"/>
      <c r="B199" s="577"/>
      <c r="C199" s="577"/>
      <c r="D199" s="577"/>
      <c r="E199" s="577"/>
      <c r="F199" s="577"/>
      <c r="G199" s="577"/>
      <c r="H199" s="577"/>
      <c r="I199" s="577"/>
      <c r="J199" s="577"/>
      <c r="K199" s="577"/>
      <c r="L199" s="577"/>
      <c r="M199" s="577"/>
      <c r="N199" s="577"/>
      <c r="O199" s="577"/>
      <c r="P199" s="577"/>
      <c r="Q199" s="577"/>
      <c r="R199" s="577"/>
      <c r="S199" s="577"/>
      <c r="T199" s="577"/>
      <c r="U199" s="577"/>
      <c r="V199" s="577"/>
      <c r="W199" s="577"/>
      <c r="X199" s="577"/>
      <c r="Y199" s="577"/>
      <c r="Z199" s="577"/>
      <c r="AA199" s="577"/>
      <c r="AB199" s="577"/>
    </row>
    <row r="200" ht="12.75" customHeight="1">
      <c r="A200" s="577"/>
      <c r="B200" s="577"/>
      <c r="C200" s="577"/>
      <c r="D200" s="577"/>
      <c r="E200" s="577"/>
      <c r="F200" s="577"/>
      <c r="G200" s="577"/>
      <c r="H200" s="577"/>
      <c r="I200" s="577"/>
      <c r="J200" s="577"/>
      <c r="K200" s="577"/>
      <c r="L200" s="577"/>
      <c r="M200" s="577"/>
      <c r="N200" s="577"/>
      <c r="O200" s="577"/>
      <c r="P200" s="577"/>
      <c r="Q200" s="577"/>
      <c r="R200" s="577"/>
      <c r="S200" s="577"/>
      <c r="T200" s="577"/>
      <c r="U200" s="577"/>
      <c r="V200" s="577"/>
      <c r="W200" s="577"/>
      <c r="X200" s="577"/>
      <c r="Y200" s="577"/>
      <c r="Z200" s="577"/>
      <c r="AA200" s="577"/>
      <c r="AB200" s="577"/>
    </row>
    <row r="201" ht="12.75" customHeight="1">
      <c r="A201" s="577"/>
      <c r="B201" s="577"/>
      <c r="C201" s="577"/>
      <c r="D201" s="577"/>
      <c r="E201" s="577"/>
      <c r="F201" s="577"/>
      <c r="G201" s="577"/>
      <c r="H201" s="577"/>
      <c r="I201" s="577"/>
      <c r="J201" s="577"/>
      <c r="K201" s="577"/>
      <c r="L201" s="577"/>
      <c r="M201" s="577"/>
      <c r="N201" s="577"/>
      <c r="O201" s="577"/>
      <c r="P201" s="577"/>
      <c r="Q201" s="577"/>
      <c r="R201" s="577"/>
      <c r="S201" s="577"/>
      <c r="T201" s="577"/>
      <c r="U201" s="577"/>
      <c r="V201" s="577"/>
      <c r="W201" s="577"/>
      <c r="X201" s="577"/>
      <c r="Y201" s="577"/>
      <c r="Z201" s="577"/>
      <c r="AA201" s="577"/>
      <c r="AB201" s="577"/>
    </row>
    <row r="202" ht="12.75" customHeight="1">
      <c r="A202" s="577"/>
      <c r="B202" s="577"/>
      <c r="C202" s="577"/>
      <c r="D202" s="577"/>
      <c r="E202" s="577"/>
      <c r="F202" s="577"/>
      <c r="G202" s="577"/>
      <c r="H202" s="577"/>
      <c r="I202" s="577"/>
      <c r="J202" s="577"/>
      <c r="K202" s="577"/>
      <c r="L202" s="577"/>
      <c r="M202" s="577"/>
      <c r="N202" s="577"/>
      <c r="O202" s="577"/>
      <c r="P202" s="577"/>
      <c r="Q202" s="577"/>
      <c r="R202" s="577"/>
      <c r="S202" s="577"/>
      <c r="T202" s="577"/>
      <c r="U202" s="577"/>
      <c r="V202" s="577"/>
      <c r="W202" s="577"/>
      <c r="X202" s="577"/>
      <c r="Y202" s="577"/>
      <c r="Z202" s="577"/>
      <c r="AA202" s="577"/>
      <c r="AB202" s="577"/>
    </row>
    <row r="203" ht="12.75" customHeight="1">
      <c r="A203" s="577"/>
      <c r="B203" s="577"/>
      <c r="C203" s="577"/>
      <c r="D203" s="577"/>
      <c r="E203" s="577"/>
      <c r="F203" s="577"/>
      <c r="G203" s="577"/>
      <c r="H203" s="577"/>
      <c r="I203" s="577"/>
      <c r="J203" s="577"/>
      <c r="K203" s="577"/>
      <c r="L203" s="577"/>
      <c r="M203" s="577"/>
      <c r="N203" s="577"/>
      <c r="O203" s="577"/>
      <c r="P203" s="577"/>
      <c r="Q203" s="577"/>
      <c r="R203" s="577"/>
      <c r="S203" s="577"/>
      <c r="T203" s="577"/>
      <c r="U203" s="577"/>
      <c r="V203" s="577"/>
      <c r="W203" s="577"/>
      <c r="X203" s="577"/>
      <c r="Y203" s="577"/>
      <c r="Z203" s="577"/>
      <c r="AA203" s="577"/>
      <c r="AB203" s="577"/>
    </row>
    <row r="204" ht="12.75" customHeight="1">
      <c r="A204" s="577"/>
      <c r="B204" s="577"/>
      <c r="C204" s="577"/>
      <c r="D204" s="577"/>
      <c r="E204" s="577"/>
      <c r="F204" s="577"/>
      <c r="G204" s="577"/>
      <c r="H204" s="577"/>
      <c r="I204" s="577"/>
      <c r="J204" s="577"/>
      <c r="K204" s="577"/>
      <c r="L204" s="577"/>
      <c r="M204" s="577"/>
      <c r="N204" s="577"/>
      <c r="O204" s="577"/>
      <c r="P204" s="577"/>
      <c r="Q204" s="577"/>
      <c r="R204" s="577"/>
      <c r="S204" s="577"/>
      <c r="T204" s="577"/>
      <c r="U204" s="577"/>
      <c r="V204" s="577"/>
      <c r="W204" s="577"/>
      <c r="X204" s="577"/>
      <c r="Y204" s="577"/>
      <c r="Z204" s="577"/>
      <c r="AA204" s="577"/>
      <c r="AB204" s="577"/>
    </row>
    <row r="205" ht="12.75" customHeight="1">
      <c r="A205" s="577"/>
      <c r="B205" s="577"/>
      <c r="C205" s="577"/>
      <c r="D205" s="577"/>
      <c r="E205" s="577"/>
      <c r="F205" s="577"/>
      <c r="G205" s="577"/>
      <c r="H205" s="577"/>
      <c r="I205" s="577"/>
      <c r="J205" s="577"/>
      <c r="K205" s="577"/>
      <c r="L205" s="577"/>
      <c r="M205" s="577"/>
      <c r="N205" s="577"/>
      <c r="O205" s="577"/>
      <c r="P205" s="577"/>
      <c r="Q205" s="577"/>
      <c r="R205" s="577"/>
      <c r="S205" s="577"/>
      <c r="T205" s="577"/>
      <c r="U205" s="577"/>
      <c r="V205" s="577"/>
      <c r="W205" s="577"/>
      <c r="X205" s="577"/>
      <c r="Y205" s="577"/>
      <c r="Z205" s="577"/>
      <c r="AA205" s="577"/>
      <c r="AB205" s="577"/>
    </row>
    <row r="206" ht="12.75" customHeight="1">
      <c r="A206" s="577"/>
      <c r="B206" s="577"/>
      <c r="C206" s="577"/>
      <c r="D206" s="577"/>
      <c r="E206" s="577"/>
      <c r="F206" s="577"/>
      <c r="G206" s="577"/>
      <c r="H206" s="577"/>
      <c r="I206" s="577"/>
      <c r="J206" s="577"/>
      <c r="K206" s="577"/>
      <c r="L206" s="577"/>
      <c r="M206" s="577"/>
      <c r="N206" s="577"/>
      <c r="O206" s="577"/>
      <c r="P206" s="577"/>
      <c r="Q206" s="577"/>
      <c r="R206" s="577"/>
      <c r="S206" s="577"/>
      <c r="T206" s="577"/>
      <c r="U206" s="577"/>
      <c r="V206" s="577"/>
      <c r="W206" s="577"/>
      <c r="X206" s="577"/>
      <c r="Y206" s="577"/>
      <c r="Z206" s="577"/>
      <c r="AA206" s="577"/>
      <c r="AB206" s="577"/>
    </row>
    <row r="207" ht="12.75" customHeight="1">
      <c r="A207" s="577"/>
      <c r="B207" s="577"/>
      <c r="C207" s="577"/>
      <c r="D207" s="577"/>
      <c r="E207" s="577"/>
      <c r="F207" s="577"/>
      <c r="G207" s="577"/>
      <c r="H207" s="577"/>
      <c r="I207" s="577"/>
      <c r="J207" s="577"/>
      <c r="K207" s="577"/>
      <c r="L207" s="577"/>
      <c r="M207" s="577"/>
      <c r="N207" s="577"/>
      <c r="O207" s="577"/>
      <c r="P207" s="577"/>
      <c r="Q207" s="577"/>
      <c r="R207" s="577"/>
      <c r="S207" s="577"/>
      <c r="T207" s="577"/>
      <c r="U207" s="577"/>
      <c r="V207" s="577"/>
      <c r="W207" s="577"/>
      <c r="X207" s="577"/>
      <c r="Y207" s="577"/>
      <c r="Z207" s="577"/>
      <c r="AA207" s="577"/>
      <c r="AB207" s="577"/>
    </row>
    <row r="208" ht="12.75" customHeight="1">
      <c r="A208" s="577"/>
      <c r="B208" s="577"/>
      <c r="C208" s="577"/>
      <c r="D208" s="577"/>
      <c r="E208" s="577"/>
      <c r="F208" s="577"/>
      <c r="G208" s="577"/>
      <c r="H208" s="577"/>
      <c r="I208" s="577"/>
      <c r="J208" s="577"/>
      <c r="K208" s="577"/>
      <c r="L208" s="577"/>
      <c r="M208" s="577"/>
      <c r="N208" s="577"/>
      <c r="O208" s="577"/>
      <c r="P208" s="577"/>
      <c r="Q208" s="577"/>
      <c r="R208" s="577"/>
      <c r="S208" s="577"/>
      <c r="T208" s="577"/>
      <c r="U208" s="577"/>
      <c r="V208" s="577"/>
      <c r="W208" s="577"/>
      <c r="X208" s="577"/>
      <c r="Y208" s="577"/>
      <c r="Z208" s="577"/>
      <c r="AA208" s="577"/>
      <c r="AB208" s="577"/>
    </row>
    <row r="209" ht="12.75" customHeight="1">
      <c r="A209" s="577"/>
      <c r="B209" s="577"/>
      <c r="C209" s="577"/>
      <c r="D209" s="577"/>
      <c r="E209" s="577"/>
      <c r="F209" s="577"/>
      <c r="G209" s="577"/>
      <c r="H209" s="577"/>
      <c r="I209" s="577"/>
      <c r="J209" s="577"/>
      <c r="K209" s="577"/>
      <c r="L209" s="577"/>
      <c r="M209" s="577"/>
      <c r="N209" s="577"/>
      <c r="O209" s="577"/>
      <c r="P209" s="577"/>
      <c r="Q209" s="577"/>
      <c r="R209" s="577"/>
      <c r="S209" s="577"/>
      <c r="T209" s="577"/>
      <c r="U209" s="577"/>
      <c r="V209" s="577"/>
      <c r="W209" s="577"/>
      <c r="X209" s="577"/>
      <c r="Y209" s="577"/>
      <c r="Z209" s="577"/>
      <c r="AA209" s="577"/>
      <c r="AB209" s="577"/>
    </row>
    <row r="210" ht="12.75" customHeight="1">
      <c r="A210" s="577"/>
      <c r="B210" s="577"/>
      <c r="C210" s="577"/>
      <c r="D210" s="577"/>
      <c r="E210" s="577"/>
      <c r="F210" s="577"/>
      <c r="G210" s="577"/>
      <c r="H210" s="577"/>
      <c r="I210" s="577"/>
      <c r="J210" s="577"/>
      <c r="K210" s="577"/>
      <c r="L210" s="577"/>
      <c r="M210" s="577"/>
      <c r="N210" s="577"/>
      <c r="O210" s="577"/>
      <c r="P210" s="577"/>
      <c r="Q210" s="577"/>
      <c r="R210" s="577"/>
      <c r="S210" s="577"/>
      <c r="T210" s="577"/>
      <c r="U210" s="577"/>
      <c r="V210" s="577"/>
      <c r="W210" s="577"/>
      <c r="X210" s="577"/>
      <c r="Y210" s="577"/>
      <c r="Z210" s="577"/>
      <c r="AA210" s="577"/>
      <c r="AB210" s="577"/>
    </row>
    <row r="211" ht="12.75" customHeight="1">
      <c r="A211" s="577"/>
      <c r="B211" s="577"/>
      <c r="C211" s="577"/>
      <c r="D211" s="577"/>
      <c r="E211" s="577"/>
      <c r="F211" s="577"/>
      <c r="G211" s="577"/>
      <c r="H211" s="577"/>
      <c r="I211" s="577"/>
      <c r="J211" s="577"/>
      <c r="K211" s="577"/>
      <c r="L211" s="577"/>
      <c r="M211" s="577"/>
      <c r="N211" s="577"/>
      <c r="O211" s="577"/>
      <c r="P211" s="577"/>
      <c r="Q211" s="577"/>
      <c r="R211" s="577"/>
      <c r="S211" s="577"/>
      <c r="T211" s="577"/>
      <c r="U211" s="577"/>
      <c r="V211" s="577"/>
      <c r="W211" s="577"/>
      <c r="X211" s="577"/>
      <c r="Y211" s="577"/>
      <c r="Z211" s="577"/>
      <c r="AA211" s="577"/>
      <c r="AB211" s="577"/>
    </row>
    <row r="212" ht="12.75" customHeight="1">
      <c r="A212" s="577"/>
      <c r="B212" s="577"/>
      <c r="C212" s="577"/>
      <c r="D212" s="577"/>
      <c r="E212" s="577"/>
      <c r="F212" s="577"/>
      <c r="G212" s="577"/>
      <c r="H212" s="577"/>
      <c r="I212" s="577"/>
      <c r="J212" s="577"/>
      <c r="K212" s="577"/>
      <c r="L212" s="577"/>
      <c r="M212" s="577"/>
      <c r="N212" s="577"/>
      <c r="O212" s="577"/>
      <c r="P212" s="577"/>
      <c r="Q212" s="577"/>
      <c r="R212" s="577"/>
      <c r="S212" s="577"/>
      <c r="T212" s="577"/>
      <c r="U212" s="577"/>
      <c r="V212" s="577"/>
      <c r="W212" s="577"/>
      <c r="X212" s="577"/>
      <c r="Y212" s="577"/>
      <c r="Z212" s="577"/>
      <c r="AA212" s="577"/>
      <c r="AB212" s="577"/>
    </row>
    <row r="213" ht="12.75" customHeight="1">
      <c r="A213" s="577"/>
      <c r="B213" s="577"/>
      <c r="C213" s="577"/>
      <c r="D213" s="577"/>
      <c r="E213" s="577"/>
      <c r="F213" s="577"/>
      <c r="G213" s="577"/>
      <c r="H213" s="577"/>
      <c r="I213" s="577"/>
      <c r="J213" s="577"/>
      <c r="K213" s="577"/>
      <c r="L213" s="577"/>
      <c r="M213" s="577"/>
      <c r="N213" s="577"/>
      <c r="O213" s="577"/>
      <c r="P213" s="577"/>
      <c r="Q213" s="577"/>
      <c r="R213" s="577"/>
      <c r="S213" s="577"/>
      <c r="T213" s="577"/>
      <c r="U213" s="577"/>
      <c r="V213" s="577"/>
      <c r="W213" s="577"/>
      <c r="X213" s="577"/>
      <c r="Y213" s="577"/>
      <c r="Z213" s="577"/>
      <c r="AA213" s="577"/>
      <c r="AB213" s="577"/>
    </row>
    <row r="214" ht="12.75" customHeight="1">
      <c r="A214" s="577"/>
      <c r="B214" s="577"/>
      <c r="C214" s="577"/>
      <c r="D214" s="577"/>
      <c r="E214" s="577"/>
      <c r="F214" s="577"/>
      <c r="G214" s="577"/>
      <c r="H214" s="577"/>
      <c r="I214" s="577"/>
      <c r="J214" s="577"/>
      <c r="K214" s="577"/>
      <c r="L214" s="577"/>
      <c r="M214" s="577"/>
      <c r="N214" s="577"/>
      <c r="O214" s="577"/>
      <c r="P214" s="577"/>
      <c r="Q214" s="577"/>
      <c r="R214" s="577"/>
      <c r="S214" s="577"/>
      <c r="T214" s="577"/>
      <c r="U214" s="577"/>
      <c r="V214" s="577"/>
      <c r="W214" s="577"/>
      <c r="X214" s="577"/>
      <c r="Y214" s="577"/>
      <c r="Z214" s="577"/>
      <c r="AA214" s="577"/>
      <c r="AB214" s="577"/>
    </row>
    <row r="215" ht="12.75" customHeight="1">
      <c r="A215" s="577"/>
      <c r="B215" s="577"/>
      <c r="C215" s="577"/>
      <c r="D215" s="577"/>
      <c r="E215" s="577"/>
      <c r="F215" s="577"/>
      <c r="G215" s="577"/>
      <c r="H215" s="577"/>
      <c r="I215" s="577"/>
      <c r="J215" s="577"/>
      <c r="K215" s="577"/>
      <c r="L215" s="577"/>
      <c r="M215" s="577"/>
      <c r="N215" s="577"/>
      <c r="O215" s="577"/>
      <c r="P215" s="577"/>
      <c r="Q215" s="577"/>
      <c r="R215" s="577"/>
      <c r="S215" s="577"/>
      <c r="T215" s="577"/>
      <c r="U215" s="577"/>
      <c r="V215" s="577"/>
      <c r="W215" s="577"/>
      <c r="X215" s="577"/>
      <c r="Y215" s="577"/>
      <c r="Z215" s="577"/>
      <c r="AA215" s="577"/>
      <c r="AB215" s="577"/>
    </row>
    <row r="216" ht="12.75" customHeight="1">
      <c r="A216" s="577"/>
      <c r="B216" s="577"/>
      <c r="C216" s="577"/>
      <c r="D216" s="577"/>
      <c r="E216" s="577"/>
      <c r="F216" s="577"/>
      <c r="G216" s="577"/>
      <c r="H216" s="577"/>
      <c r="I216" s="577"/>
      <c r="J216" s="577"/>
      <c r="K216" s="577"/>
      <c r="L216" s="577"/>
      <c r="M216" s="577"/>
      <c r="N216" s="577"/>
      <c r="O216" s="577"/>
      <c r="P216" s="577"/>
      <c r="Q216" s="577"/>
      <c r="R216" s="577"/>
      <c r="S216" s="577"/>
      <c r="T216" s="577"/>
      <c r="U216" s="577"/>
      <c r="V216" s="577"/>
      <c r="W216" s="577"/>
      <c r="X216" s="577"/>
      <c r="Y216" s="577"/>
      <c r="Z216" s="577"/>
      <c r="AA216" s="577"/>
      <c r="AB216" s="577"/>
    </row>
    <row r="217" ht="12.75" customHeight="1">
      <c r="A217" s="577"/>
      <c r="B217" s="577"/>
      <c r="C217" s="577"/>
      <c r="D217" s="577"/>
      <c r="E217" s="577"/>
      <c r="F217" s="577"/>
      <c r="G217" s="577"/>
      <c r="H217" s="577"/>
      <c r="I217" s="577"/>
      <c r="J217" s="577"/>
      <c r="K217" s="577"/>
      <c r="L217" s="577"/>
      <c r="M217" s="577"/>
      <c r="N217" s="577"/>
      <c r="O217" s="577"/>
      <c r="P217" s="577"/>
      <c r="Q217" s="577"/>
      <c r="R217" s="577"/>
      <c r="S217" s="577"/>
      <c r="T217" s="577"/>
      <c r="U217" s="577"/>
      <c r="V217" s="577"/>
      <c r="W217" s="577"/>
      <c r="X217" s="577"/>
      <c r="Y217" s="577"/>
      <c r="Z217" s="577"/>
      <c r="AA217" s="577"/>
      <c r="AB217" s="577"/>
    </row>
    <row r="218" ht="12.75" customHeight="1">
      <c r="A218" s="577"/>
      <c r="B218" s="577"/>
      <c r="C218" s="577"/>
      <c r="D218" s="577"/>
      <c r="E218" s="577"/>
      <c r="F218" s="577"/>
      <c r="G218" s="577"/>
      <c r="H218" s="577"/>
      <c r="I218" s="577"/>
      <c r="J218" s="577"/>
      <c r="K218" s="577"/>
      <c r="L218" s="577"/>
      <c r="M218" s="577"/>
      <c r="N218" s="577"/>
      <c r="O218" s="577"/>
      <c r="P218" s="577"/>
      <c r="Q218" s="577"/>
      <c r="R218" s="577"/>
      <c r="S218" s="577"/>
      <c r="T218" s="577"/>
      <c r="U218" s="577"/>
      <c r="V218" s="577"/>
      <c r="W218" s="577"/>
      <c r="X218" s="577"/>
      <c r="Y218" s="577"/>
      <c r="Z218" s="577"/>
      <c r="AA218" s="577"/>
      <c r="AB218" s="577"/>
    </row>
    <row r="219" ht="12.75" customHeight="1">
      <c r="A219" s="577"/>
      <c r="B219" s="577"/>
      <c r="C219" s="577"/>
      <c r="D219" s="577"/>
      <c r="E219" s="577"/>
      <c r="F219" s="577"/>
      <c r="G219" s="577"/>
      <c r="H219" s="577"/>
      <c r="I219" s="577"/>
      <c r="J219" s="577"/>
      <c r="K219" s="577"/>
      <c r="L219" s="577"/>
      <c r="M219" s="577"/>
      <c r="N219" s="577"/>
      <c r="O219" s="577"/>
      <c r="P219" s="577"/>
      <c r="Q219" s="577"/>
      <c r="R219" s="577"/>
      <c r="S219" s="577"/>
      <c r="T219" s="577"/>
      <c r="U219" s="577"/>
      <c r="V219" s="577"/>
      <c r="W219" s="577"/>
      <c r="X219" s="577"/>
      <c r="Y219" s="577"/>
      <c r="Z219" s="577"/>
      <c r="AA219" s="577"/>
      <c r="AB219" s="577"/>
    </row>
    <row r="220" ht="12.75" customHeight="1">
      <c r="A220" s="577"/>
      <c r="B220" s="577"/>
      <c r="C220" s="577"/>
      <c r="D220" s="577"/>
      <c r="E220" s="577"/>
      <c r="F220" s="577"/>
      <c r="G220" s="577"/>
      <c r="H220" s="577"/>
      <c r="I220" s="577"/>
      <c r="J220" s="577"/>
      <c r="K220" s="577"/>
      <c r="L220" s="577"/>
      <c r="M220" s="577"/>
      <c r="N220" s="577"/>
      <c r="O220" s="577"/>
      <c r="P220" s="577"/>
      <c r="Q220" s="577"/>
      <c r="R220" s="577"/>
      <c r="S220" s="577"/>
      <c r="T220" s="577"/>
      <c r="U220" s="577"/>
      <c r="V220" s="577"/>
      <c r="W220" s="577"/>
      <c r="X220" s="577"/>
      <c r="Y220" s="577"/>
      <c r="Z220" s="577"/>
      <c r="AA220" s="577"/>
      <c r="AB220" s="577"/>
    </row>
    <row r="221" ht="12.75" customHeight="1">
      <c r="A221" s="577"/>
      <c r="B221" s="577"/>
      <c r="C221" s="577"/>
      <c r="D221" s="577"/>
      <c r="E221" s="577"/>
      <c r="F221" s="577"/>
      <c r="G221" s="577"/>
      <c r="H221" s="577"/>
      <c r="I221" s="577"/>
      <c r="J221" s="577"/>
      <c r="K221" s="577"/>
      <c r="L221" s="577"/>
      <c r="M221" s="577"/>
      <c r="N221" s="577"/>
      <c r="O221" s="577"/>
      <c r="P221" s="577"/>
      <c r="Q221" s="577"/>
      <c r="R221" s="577"/>
      <c r="S221" s="577"/>
      <c r="T221" s="577"/>
      <c r="U221" s="577"/>
      <c r="V221" s="577"/>
      <c r="W221" s="577"/>
      <c r="X221" s="577"/>
      <c r="Y221" s="577"/>
      <c r="Z221" s="577"/>
      <c r="AA221" s="577"/>
      <c r="AB221" s="577"/>
    </row>
    <row r="222" ht="12.75" customHeight="1">
      <c r="A222" s="577"/>
      <c r="B222" s="577"/>
      <c r="C222" s="577"/>
      <c r="D222" s="577"/>
      <c r="E222" s="577"/>
      <c r="F222" s="577"/>
      <c r="G222" s="577"/>
      <c r="H222" s="577"/>
      <c r="I222" s="577"/>
      <c r="J222" s="577"/>
      <c r="K222" s="577"/>
      <c r="L222" s="577"/>
      <c r="M222" s="577"/>
      <c r="N222" s="577"/>
      <c r="O222" s="577"/>
      <c r="P222" s="577"/>
      <c r="Q222" s="577"/>
      <c r="R222" s="577"/>
      <c r="S222" s="577"/>
      <c r="T222" s="577"/>
      <c r="U222" s="577"/>
      <c r="V222" s="577"/>
      <c r="W222" s="577"/>
      <c r="X222" s="577"/>
      <c r="Y222" s="577"/>
      <c r="Z222" s="577"/>
      <c r="AA222" s="577"/>
      <c r="AB222" s="577"/>
    </row>
    <row r="223" ht="12.75" customHeight="1">
      <c r="A223" s="577"/>
      <c r="B223" s="577"/>
      <c r="C223" s="577"/>
      <c r="D223" s="577"/>
      <c r="E223" s="577"/>
      <c r="F223" s="577"/>
      <c r="G223" s="577"/>
      <c r="H223" s="577"/>
      <c r="I223" s="577"/>
      <c r="J223" s="577"/>
      <c r="K223" s="577"/>
      <c r="L223" s="577"/>
      <c r="M223" s="577"/>
      <c r="N223" s="577"/>
      <c r="O223" s="577"/>
      <c r="P223" s="577"/>
      <c r="Q223" s="577"/>
      <c r="R223" s="577"/>
      <c r="S223" s="577"/>
      <c r="T223" s="577"/>
      <c r="U223" s="577"/>
      <c r="V223" s="577"/>
      <c r="W223" s="577"/>
      <c r="X223" s="577"/>
      <c r="Y223" s="577"/>
      <c r="Z223" s="577"/>
      <c r="AA223" s="577"/>
      <c r="AB223" s="577"/>
    </row>
    <row r="224" ht="12.75" customHeight="1">
      <c r="A224" s="577"/>
      <c r="B224" s="577"/>
      <c r="C224" s="577"/>
      <c r="D224" s="577"/>
      <c r="E224" s="577"/>
      <c r="F224" s="577"/>
      <c r="G224" s="577"/>
      <c r="H224" s="577"/>
      <c r="I224" s="577"/>
      <c r="J224" s="577"/>
      <c r="K224" s="577"/>
      <c r="L224" s="577"/>
      <c r="M224" s="577"/>
      <c r="N224" s="577"/>
      <c r="O224" s="577"/>
      <c r="P224" s="577"/>
      <c r="Q224" s="577"/>
      <c r="R224" s="577"/>
      <c r="S224" s="577"/>
      <c r="T224" s="577"/>
      <c r="U224" s="577"/>
      <c r="V224" s="577"/>
      <c r="W224" s="577"/>
      <c r="X224" s="577"/>
      <c r="Y224" s="577"/>
      <c r="Z224" s="577"/>
      <c r="AA224" s="577"/>
      <c r="AB224" s="577"/>
    </row>
    <row r="225" ht="12.75" customHeight="1">
      <c r="A225" s="577"/>
      <c r="B225" s="577"/>
      <c r="C225" s="577"/>
      <c r="D225" s="577"/>
      <c r="E225" s="577"/>
      <c r="F225" s="577"/>
      <c r="G225" s="577"/>
      <c r="H225" s="577"/>
      <c r="I225" s="577"/>
      <c r="J225" s="577"/>
      <c r="K225" s="577"/>
      <c r="L225" s="577"/>
      <c r="M225" s="577"/>
      <c r="N225" s="577"/>
      <c r="O225" s="577"/>
      <c r="P225" s="577"/>
      <c r="Q225" s="577"/>
      <c r="R225" s="577"/>
      <c r="S225" s="577"/>
      <c r="T225" s="577"/>
      <c r="U225" s="577"/>
      <c r="V225" s="577"/>
      <c r="W225" s="577"/>
      <c r="X225" s="577"/>
      <c r="Y225" s="577"/>
      <c r="Z225" s="577"/>
      <c r="AA225" s="577"/>
      <c r="AB225" s="577"/>
    </row>
    <row r="226" ht="12.75" customHeight="1">
      <c r="A226" s="577"/>
      <c r="B226" s="577"/>
      <c r="C226" s="577"/>
      <c r="D226" s="577"/>
      <c r="E226" s="577"/>
      <c r="F226" s="577"/>
      <c r="G226" s="577"/>
      <c r="H226" s="577"/>
      <c r="I226" s="577"/>
      <c r="J226" s="577"/>
      <c r="K226" s="577"/>
      <c r="L226" s="577"/>
      <c r="M226" s="577"/>
      <c r="N226" s="577"/>
      <c r="O226" s="577"/>
      <c r="P226" s="577"/>
      <c r="Q226" s="577"/>
      <c r="R226" s="577"/>
      <c r="S226" s="577"/>
      <c r="T226" s="577"/>
      <c r="U226" s="577"/>
      <c r="V226" s="577"/>
      <c r="W226" s="577"/>
      <c r="X226" s="577"/>
      <c r="Y226" s="577"/>
      <c r="Z226" s="577"/>
      <c r="AA226" s="577"/>
      <c r="AB226" s="577"/>
    </row>
    <row r="227" ht="12.75" customHeight="1">
      <c r="A227" s="577"/>
      <c r="B227" s="577"/>
      <c r="C227" s="577"/>
      <c r="D227" s="577"/>
      <c r="E227" s="577"/>
      <c r="F227" s="577"/>
      <c r="G227" s="577"/>
      <c r="H227" s="577"/>
      <c r="I227" s="577"/>
      <c r="J227" s="577"/>
      <c r="K227" s="577"/>
      <c r="L227" s="577"/>
      <c r="M227" s="577"/>
      <c r="N227" s="577"/>
      <c r="O227" s="577"/>
      <c r="P227" s="577"/>
      <c r="Q227" s="577"/>
      <c r="R227" s="577"/>
      <c r="S227" s="577"/>
      <c r="T227" s="577"/>
      <c r="U227" s="577"/>
      <c r="V227" s="577"/>
      <c r="W227" s="577"/>
      <c r="X227" s="577"/>
      <c r="Y227" s="577"/>
      <c r="Z227" s="577"/>
      <c r="AA227" s="577"/>
      <c r="AB227" s="577"/>
    </row>
    <row r="228" ht="12.75" customHeight="1">
      <c r="A228" s="577"/>
      <c r="B228" s="577"/>
      <c r="C228" s="577"/>
      <c r="D228" s="577"/>
      <c r="E228" s="577"/>
      <c r="F228" s="577"/>
      <c r="G228" s="577"/>
      <c r="H228" s="577"/>
      <c r="I228" s="577"/>
      <c r="J228" s="577"/>
      <c r="K228" s="577"/>
      <c r="L228" s="577"/>
      <c r="M228" s="577"/>
      <c r="N228" s="577"/>
      <c r="O228" s="577"/>
      <c r="P228" s="577"/>
      <c r="Q228" s="577"/>
      <c r="R228" s="577"/>
      <c r="S228" s="577"/>
      <c r="T228" s="577"/>
      <c r="U228" s="577"/>
      <c r="V228" s="577"/>
      <c r="W228" s="577"/>
      <c r="X228" s="577"/>
      <c r="Y228" s="577"/>
      <c r="Z228" s="577"/>
      <c r="AA228" s="577"/>
      <c r="AB228" s="577"/>
    </row>
    <row r="229" ht="12.75" customHeight="1">
      <c r="A229" s="577"/>
      <c r="B229" s="577"/>
      <c r="C229" s="577"/>
      <c r="D229" s="577"/>
      <c r="E229" s="577"/>
      <c r="F229" s="577"/>
      <c r="G229" s="577"/>
      <c r="H229" s="577"/>
      <c r="I229" s="577"/>
      <c r="J229" s="577"/>
      <c r="K229" s="577"/>
      <c r="L229" s="577"/>
      <c r="M229" s="577"/>
      <c r="N229" s="577"/>
      <c r="O229" s="577"/>
      <c r="P229" s="577"/>
      <c r="Q229" s="577"/>
      <c r="R229" s="577"/>
      <c r="S229" s="577"/>
      <c r="T229" s="577"/>
      <c r="U229" s="577"/>
      <c r="V229" s="577"/>
      <c r="W229" s="577"/>
      <c r="X229" s="577"/>
      <c r="Y229" s="577"/>
      <c r="Z229" s="577"/>
      <c r="AA229" s="577"/>
      <c r="AB229" s="577"/>
    </row>
    <row r="230" ht="12.75" customHeight="1">
      <c r="A230" s="577"/>
      <c r="B230" s="577"/>
      <c r="C230" s="577"/>
      <c r="D230" s="577"/>
      <c r="E230" s="577"/>
      <c r="F230" s="577"/>
      <c r="G230" s="577"/>
      <c r="H230" s="577"/>
      <c r="I230" s="577"/>
      <c r="J230" s="577"/>
      <c r="K230" s="577"/>
      <c r="L230" s="577"/>
      <c r="M230" s="577"/>
      <c r="N230" s="577"/>
      <c r="O230" s="577"/>
      <c r="P230" s="577"/>
      <c r="Q230" s="577"/>
      <c r="R230" s="577"/>
      <c r="S230" s="577"/>
      <c r="T230" s="577"/>
      <c r="U230" s="577"/>
      <c r="V230" s="577"/>
      <c r="W230" s="577"/>
      <c r="X230" s="577"/>
      <c r="Y230" s="577"/>
      <c r="Z230" s="577"/>
      <c r="AA230" s="577"/>
      <c r="AB230" s="577"/>
    </row>
    <row r="231" ht="12.75" customHeight="1">
      <c r="A231" s="577"/>
      <c r="B231" s="577"/>
      <c r="C231" s="577"/>
      <c r="D231" s="577"/>
      <c r="E231" s="577"/>
      <c r="F231" s="577"/>
      <c r="G231" s="577"/>
      <c r="H231" s="577"/>
      <c r="I231" s="577"/>
      <c r="J231" s="577"/>
      <c r="K231" s="577"/>
      <c r="L231" s="577"/>
      <c r="M231" s="577"/>
      <c r="N231" s="577"/>
      <c r="O231" s="577"/>
      <c r="P231" s="577"/>
      <c r="Q231" s="577"/>
      <c r="R231" s="577"/>
      <c r="S231" s="577"/>
      <c r="T231" s="577"/>
      <c r="U231" s="577"/>
      <c r="V231" s="577"/>
      <c r="W231" s="577"/>
      <c r="X231" s="577"/>
      <c r="Y231" s="577"/>
      <c r="Z231" s="577"/>
      <c r="AA231" s="577"/>
      <c r="AB231" s="577"/>
    </row>
    <row r="232" ht="12.75" customHeight="1">
      <c r="A232" s="577"/>
      <c r="B232" s="577"/>
      <c r="C232" s="577"/>
      <c r="D232" s="577"/>
      <c r="E232" s="577"/>
      <c r="F232" s="577"/>
      <c r="G232" s="577"/>
      <c r="H232" s="577"/>
      <c r="I232" s="577"/>
      <c r="J232" s="577"/>
      <c r="K232" s="577"/>
      <c r="L232" s="577"/>
      <c r="M232" s="577"/>
      <c r="N232" s="577"/>
      <c r="O232" s="577"/>
      <c r="P232" s="577"/>
      <c r="Q232" s="577"/>
      <c r="R232" s="577"/>
      <c r="S232" s="577"/>
      <c r="T232" s="577"/>
      <c r="U232" s="577"/>
      <c r="V232" s="577"/>
      <c r="W232" s="577"/>
      <c r="X232" s="577"/>
      <c r="Y232" s="577"/>
      <c r="Z232" s="577"/>
      <c r="AA232" s="577"/>
      <c r="AB232" s="577"/>
    </row>
    <row r="233" ht="12.75" customHeight="1">
      <c r="A233" s="577"/>
      <c r="B233" s="577"/>
      <c r="C233" s="577"/>
      <c r="D233" s="577"/>
      <c r="E233" s="577"/>
      <c r="F233" s="577"/>
      <c r="G233" s="577"/>
      <c r="H233" s="577"/>
      <c r="I233" s="577"/>
      <c r="J233" s="577"/>
      <c r="K233" s="577"/>
      <c r="L233" s="577"/>
      <c r="M233" s="577"/>
      <c r="N233" s="577"/>
      <c r="O233" s="577"/>
      <c r="P233" s="577"/>
      <c r="Q233" s="577"/>
      <c r="R233" s="577"/>
      <c r="S233" s="577"/>
      <c r="T233" s="577"/>
      <c r="U233" s="577"/>
      <c r="V233" s="577"/>
      <c r="W233" s="577"/>
      <c r="X233" s="577"/>
      <c r="Y233" s="577"/>
      <c r="Z233" s="577"/>
      <c r="AA233" s="577"/>
      <c r="AB233" s="577"/>
    </row>
    <row r="234" ht="12.75" customHeight="1">
      <c r="A234" s="577"/>
      <c r="B234" s="577"/>
      <c r="C234" s="577"/>
      <c r="D234" s="577"/>
      <c r="E234" s="577"/>
      <c r="F234" s="577"/>
      <c r="G234" s="577"/>
      <c r="H234" s="577"/>
      <c r="I234" s="577"/>
      <c r="J234" s="577"/>
      <c r="K234" s="577"/>
      <c r="L234" s="577"/>
      <c r="M234" s="577"/>
      <c r="N234" s="577"/>
      <c r="O234" s="577"/>
      <c r="P234" s="577"/>
      <c r="Q234" s="577"/>
      <c r="R234" s="577"/>
      <c r="S234" s="577"/>
      <c r="T234" s="577"/>
      <c r="U234" s="577"/>
      <c r="V234" s="577"/>
      <c r="W234" s="577"/>
      <c r="X234" s="577"/>
      <c r="Y234" s="577"/>
      <c r="Z234" s="577"/>
      <c r="AA234" s="577"/>
      <c r="AB234" s="577"/>
    </row>
    <row r="235" ht="12.75" customHeight="1">
      <c r="A235" s="577"/>
      <c r="B235" s="577"/>
      <c r="C235" s="577"/>
      <c r="D235" s="577"/>
      <c r="E235" s="577"/>
      <c r="F235" s="577"/>
      <c r="G235" s="577"/>
      <c r="H235" s="577"/>
      <c r="I235" s="577"/>
      <c r="J235" s="577"/>
      <c r="K235" s="577"/>
      <c r="L235" s="577"/>
      <c r="M235" s="577"/>
      <c r="N235" s="577"/>
      <c r="O235" s="577"/>
      <c r="P235" s="577"/>
      <c r="Q235" s="577"/>
      <c r="R235" s="577"/>
      <c r="S235" s="577"/>
      <c r="T235" s="577"/>
      <c r="U235" s="577"/>
      <c r="V235" s="577"/>
      <c r="W235" s="577"/>
      <c r="X235" s="577"/>
      <c r="Y235" s="577"/>
      <c r="Z235" s="577"/>
      <c r="AA235" s="577"/>
      <c r="AB235" s="577"/>
    </row>
    <row r="236" ht="12.75" customHeight="1">
      <c r="A236" s="577"/>
      <c r="B236" s="577"/>
      <c r="C236" s="577"/>
      <c r="D236" s="577"/>
      <c r="E236" s="577"/>
      <c r="F236" s="577"/>
      <c r="G236" s="577"/>
      <c r="H236" s="577"/>
      <c r="I236" s="577"/>
      <c r="J236" s="577"/>
      <c r="K236" s="577"/>
      <c r="L236" s="577"/>
      <c r="M236" s="577"/>
      <c r="N236" s="577"/>
      <c r="O236" s="577"/>
      <c r="P236" s="577"/>
      <c r="Q236" s="577"/>
      <c r="R236" s="577"/>
      <c r="S236" s="577"/>
      <c r="T236" s="577"/>
      <c r="U236" s="577"/>
      <c r="V236" s="577"/>
      <c r="W236" s="577"/>
      <c r="X236" s="577"/>
      <c r="Y236" s="577"/>
      <c r="Z236" s="577"/>
      <c r="AA236" s="577"/>
      <c r="AB236" s="577"/>
    </row>
    <row r="237" ht="12.75" customHeight="1">
      <c r="A237" s="577"/>
      <c r="B237" s="577"/>
      <c r="C237" s="577"/>
      <c r="D237" s="577"/>
      <c r="E237" s="577"/>
      <c r="F237" s="577"/>
      <c r="G237" s="577"/>
      <c r="H237" s="577"/>
      <c r="I237" s="577"/>
      <c r="J237" s="577"/>
      <c r="K237" s="577"/>
      <c r="L237" s="577"/>
      <c r="M237" s="577"/>
      <c r="N237" s="577"/>
      <c r="O237" s="577"/>
      <c r="P237" s="577"/>
      <c r="Q237" s="577"/>
      <c r="R237" s="577"/>
      <c r="S237" s="577"/>
      <c r="T237" s="577"/>
      <c r="U237" s="577"/>
      <c r="V237" s="577"/>
      <c r="W237" s="577"/>
      <c r="X237" s="577"/>
      <c r="Y237" s="577"/>
      <c r="Z237" s="577"/>
      <c r="AA237" s="577"/>
      <c r="AB237" s="577"/>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D43:I43"/>
    <mergeCell ref="D44:I44"/>
    <mergeCell ref="D23:I26"/>
    <mergeCell ref="D37:I37"/>
    <mergeCell ref="D38:I38"/>
    <mergeCell ref="D39:I39"/>
    <mergeCell ref="D40:I40"/>
    <mergeCell ref="D41:I41"/>
    <mergeCell ref="D42:I42"/>
  </mergeCells>
  <conditionalFormatting sqref="D23:I26">
    <cfRule type="notContainsBlanks" dxfId="0" priority="1">
      <formula>LEN(TRIM(D23))&gt;0</formula>
    </cfRule>
  </conditionalFormatting>
  <conditionalFormatting sqref="D37:I44">
    <cfRule type="notContainsBlanks" dxfId="0" priority="2">
      <formula>LEN(TRIM(D37))&gt;0</formula>
    </cfRule>
  </conditionalFormatting>
  <dataValidations>
    <dataValidation type="list" allowBlank="1" showErrorMessage="1" sqref="J12:J21 I30:I35">
      <formula1>$Q$4:$Q$9</formula1>
    </dataValidation>
  </dataValidations>
  <printOptions/>
  <pageMargins bottom="0.75" footer="0.0" header="0.0" left="0.7" right="0.7" top="0.75"/>
  <pageSetup paperSize="9" orientation="portrait"/>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3.43"/>
    <col customWidth="1" min="3" max="3" width="25.57"/>
    <col customWidth="1" min="4" max="4" width="20.0"/>
    <col customWidth="1" min="5" max="7" width="16.0"/>
    <col customWidth="1" min="8" max="8" width="17.43"/>
    <col customWidth="1" min="9" max="9" width="18.14"/>
    <col customWidth="1" min="10" max="10" width="17.71"/>
    <col customWidth="1" min="11" max="26" width="10.86"/>
    <col customWidth="1" min="27" max="27" width="6.57"/>
    <col customWidth="1" min="28" max="28" width="12.57"/>
    <col customWidth="1" min="29" max="29" width="15.57"/>
    <col customWidth="1" min="30" max="31" width="13.43"/>
    <col customWidth="1" min="32" max="32" width="22.0"/>
  </cols>
  <sheetData>
    <row r="1" ht="13.5" customHeight="1">
      <c r="A1" s="27"/>
      <c r="B1" s="27"/>
      <c r="C1" s="27"/>
      <c r="D1" s="27"/>
      <c r="E1" s="27"/>
      <c r="F1" s="27"/>
      <c r="G1" s="27"/>
      <c r="H1" s="27"/>
      <c r="I1" s="27"/>
      <c r="J1" s="27"/>
      <c r="K1" s="27"/>
      <c r="L1" s="27"/>
      <c r="M1" s="27"/>
      <c r="N1" s="27"/>
      <c r="O1" s="27"/>
      <c r="P1" s="27"/>
      <c r="Q1" s="27"/>
      <c r="R1" s="27"/>
    </row>
    <row r="2" ht="13.5" customHeight="1">
      <c r="A2" s="27"/>
      <c r="C2" s="153" t="s">
        <v>440</v>
      </c>
      <c r="K2" s="27"/>
      <c r="L2" s="27"/>
      <c r="M2" s="27"/>
      <c r="N2" s="27"/>
      <c r="O2" s="27"/>
      <c r="P2" s="27"/>
      <c r="Q2" s="27"/>
      <c r="R2" s="27"/>
    </row>
    <row r="3" ht="13.5" customHeight="1">
      <c r="A3" s="27"/>
      <c r="C3" s="153"/>
      <c r="K3" s="27"/>
      <c r="L3" s="27"/>
      <c r="M3" s="27"/>
      <c r="N3" s="27"/>
      <c r="O3" s="27"/>
      <c r="P3" s="27"/>
      <c r="Q3" s="27"/>
      <c r="R3" s="27"/>
    </row>
    <row r="4" ht="13.5" customHeight="1">
      <c r="A4" s="27"/>
      <c r="C4" s="611" t="s">
        <v>441</v>
      </c>
      <c r="D4" s="364">
        <f>+'Cuadro de Usos y Fuentes'!D14</f>
        <v>0.35</v>
      </c>
      <c r="K4" s="27"/>
      <c r="L4" s="27"/>
      <c r="M4" s="27"/>
      <c r="N4" s="27"/>
      <c r="O4" s="27"/>
      <c r="P4" s="27"/>
      <c r="Q4" s="27"/>
      <c r="R4" s="27"/>
    </row>
    <row r="5" ht="13.5" customHeight="1">
      <c r="A5" s="27"/>
      <c r="K5" s="27"/>
      <c r="L5" s="27"/>
      <c r="M5" s="27"/>
      <c r="N5" s="27"/>
      <c r="O5" s="27"/>
      <c r="P5" s="27"/>
      <c r="Q5" s="27"/>
      <c r="R5" s="27"/>
    </row>
    <row r="6" ht="13.5" customHeight="1">
      <c r="A6" s="27"/>
      <c r="D6" s="612" t="s">
        <v>442</v>
      </c>
      <c r="E6" s="442"/>
      <c r="F6" s="442"/>
      <c r="G6" s="442"/>
      <c r="H6" s="442"/>
      <c r="I6" s="45"/>
      <c r="K6" s="27"/>
      <c r="L6" s="27"/>
      <c r="M6" s="27"/>
      <c r="N6" s="27"/>
      <c r="O6" s="27"/>
      <c r="P6" s="27"/>
      <c r="Q6" s="27"/>
      <c r="R6" s="27"/>
    </row>
    <row r="7" ht="13.5" customHeight="1">
      <c r="A7" s="27"/>
      <c r="C7" s="613"/>
      <c r="D7" s="614">
        <v>0.0</v>
      </c>
      <c r="E7" s="614">
        <v>1.0</v>
      </c>
      <c r="F7" s="614">
        <v>2.0</v>
      </c>
      <c r="G7" s="614">
        <v>3.0</v>
      </c>
      <c r="H7" s="614">
        <v>4.0</v>
      </c>
      <c r="I7" s="614">
        <v>5.0</v>
      </c>
      <c r="K7" s="27"/>
      <c r="L7" s="27"/>
      <c r="M7" s="27"/>
      <c r="N7" s="27"/>
      <c r="O7" s="27"/>
      <c r="P7" s="27"/>
      <c r="Q7" s="27"/>
      <c r="R7" s="27"/>
    </row>
    <row r="8" ht="13.5" customHeight="1">
      <c r="A8" s="27"/>
      <c r="C8" s="578" t="s">
        <v>443</v>
      </c>
      <c r="D8" s="246"/>
      <c r="E8" s="246">
        <f>'Balances Pro Forma'!F23</f>
        <v>-39908606.92</v>
      </c>
      <c r="F8" s="246">
        <f>+'Balances Pro Forma'!I23</f>
        <v>9897650.21</v>
      </c>
      <c r="G8" s="246">
        <f>'Balances Pro Forma'!L23</f>
        <v>80867513.22</v>
      </c>
      <c r="H8" s="246">
        <f>'Balances Pro Forma'!O23</f>
        <v>173903471.5</v>
      </c>
      <c r="I8" s="246">
        <f>'Balances Pro Forma'!R23</f>
        <v>310157953.5</v>
      </c>
      <c r="J8" s="615">
        <f>SUM(E8:I8)</f>
        <v>534917981.5</v>
      </c>
      <c r="K8" s="27"/>
      <c r="L8" s="27"/>
      <c r="M8" s="27"/>
      <c r="N8" s="27"/>
      <c r="O8" s="27"/>
      <c r="P8" s="27"/>
      <c r="Q8" s="27"/>
      <c r="R8" s="27"/>
      <c r="X8" s="616">
        <f>+IF(AND(D19&lt;0,E19&lt;0),0,IF(AND(D19&lt;0,E19&gt;0),E19*12/(-D19+E19),""))</f>
        <v>0</v>
      </c>
      <c r="AA8" s="615">
        <f>+D8-D9-D11</f>
        <v>-58807300</v>
      </c>
      <c r="AB8" s="615">
        <f>+E8-E10+E12+E13-E16</f>
        <v>-32458596.73</v>
      </c>
      <c r="AC8" s="615">
        <f t="shared" ref="AC8:AE8" si="1">F8+F12-F16</f>
        <v>17162139.3</v>
      </c>
      <c r="AD8" s="615">
        <f t="shared" si="1"/>
        <v>60110616.93</v>
      </c>
      <c r="AE8" s="615">
        <f t="shared" si="1"/>
        <v>117402056.5</v>
      </c>
      <c r="AF8" s="615">
        <f>+I8+I12+I14+I15-I16</f>
        <v>229545093</v>
      </c>
    </row>
    <row r="9" ht="13.5" customHeight="1">
      <c r="A9" s="27"/>
      <c r="C9" s="578" t="s">
        <v>444</v>
      </c>
      <c r="D9" s="246">
        <f>'Activo no Corriente'!E14</f>
        <v>47650000</v>
      </c>
      <c r="E9" s="246"/>
      <c r="F9" s="246"/>
      <c r="G9" s="246"/>
      <c r="H9" s="246"/>
      <c r="I9" s="246"/>
      <c r="K9" s="27"/>
      <c r="L9" s="27"/>
      <c r="M9" s="27"/>
      <c r="N9" s="27"/>
      <c r="O9" s="27"/>
      <c r="P9" s="27"/>
      <c r="Q9" s="27"/>
      <c r="R9" s="27"/>
      <c r="X9" s="616">
        <f>+IF(AND(E19&lt;0,F19&lt;0),0,IF(AND(E19&lt;0,F19&gt;0),-E19*12/(-E19+F19),""))</f>
        <v>0</v>
      </c>
      <c r="AB9" s="615">
        <f>+AA8+AB8</f>
        <v>-91265896.73</v>
      </c>
      <c r="AC9" s="615">
        <f t="shared" ref="AC9:AF9" si="2">+AB9+AC8</f>
        <v>-74103757.43</v>
      </c>
      <c r="AD9" s="615">
        <f t="shared" si="2"/>
        <v>-13993140.5</v>
      </c>
      <c r="AE9" s="615">
        <f t="shared" si="2"/>
        <v>103408916</v>
      </c>
      <c r="AF9" s="617">
        <f t="shared" si="2"/>
        <v>332954008.9</v>
      </c>
    </row>
    <row r="10" ht="13.5" customHeight="1">
      <c r="A10" s="27"/>
      <c r="C10" s="578" t="s">
        <v>445</v>
      </c>
      <c r="D10" s="246"/>
      <c r="E10" s="246">
        <f>+'Capital de trabajo'!D13</f>
        <v>17617889.82</v>
      </c>
      <c r="F10" s="246"/>
      <c r="G10" s="246"/>
      <c r="H10" s="246"/>
      <c r="I10" s="246"/>
      <c r="K10" s="27"/>
      <c r="L10" s="27"/>
      <c r="M10" s="27"/>
      <c r="N10" s="27"/>
      <c r="O10" s="27"/>
      <c r="P10" s="27"/>
      <c r="Q10" s="27"/>
      <c r="R10" s="27"/>
      <c r="X10" s="616">
        <f>+IF(AND(G19&lt;0,H19&lt;0),0,IF(AND(G19&lt;0,H19&gt;0),-G19*12/(-G19+H19),""))</f>
        <v>1.430278916</v>
      </c>
    </row>
    <row r="11" ht="13.5" customHeight="1">
      <c r="A11" s="27"/>
      <c r="C11" s="578" t="s">
        <v>446</v>
      </c>
      <c r="D11" s="246">
        <f>+'Activo no Corriente'!E15+'Capital de trabajo'!D7</f>
        <v>11157300</v>
      </c>
      <c r="E11" s="246"/>
      <c r="F11" s="246"/>
      <c r="G11" s="246"/>
      <c r="H11" s="246"/>
      <c r="I11" s="246"/>
      <c r="K11" s="27"/>
      <c r="L11" s="27"/>
      <c r="M11" s="27"/>
      <c r="N11" s="27"/>
      <c r="O11" s="27"/>
      <c r="P11" s="27"/>
      <c r="Q11" s="27"/>
      <c r="R11" s="27"/>
      <c r="X11" s="616" t="str">
        <f>+IF(AND(H19&lt;0,I19&lt;0),0,IF(AND(H19&lt;0,I19&gt;0),-H19*12/(-H19+I19),""))</f>
        <v/>
      </c>
      <c r="AB11" s="618">
        <f>+D4</f>
        <v>0.35</v>
      </c>
      <c r="AC11" s="619">
        <v>0.0</v>
      </c>
      <c r="AD11" s="619">
        <f t="shared" ref="AD11:AD16" si="3">POWER($AB$12,AC11)</f>
        <v>1</v>
      </c>
    </row>
    <row r="12" ht="13.5" customHeight="1">
      <c r="A12" s="27"/>
      <c r="C12" s="578" t="s">
        <v>447</v>
      </c>
      <c r="D12" s="246"/>
      <c r="E12" s="246">
        <f>-'Balances Pro Forma'!F17</f>
        <v>13910600</v>
      </c>
      <c r="F12" s="246">
        <f>-'Balances Pro Forma'!I17</f>
        <v>10728666.67</v>
      </c>
      <c r="G12" s="246">
        <f>-'Balances Pro Forma'!L17</f>
        <v>7546733.333</v>
      </c>
      <c r="H12" s="246">
        <f>-'Balances Pro Forma'!O17</f>
        <v>4364800</v>
      </c>
      <c r="I12" s="246">
        <f>-'Balances Pro Forma'!R17</f>
        <v>2096533.333</v>
      </c>
      <c r="K12" s="27"/>
      <c r="L12" s="27"/>
      <c r="M12" s="27"/>
      <c r="N12" s="27"/>
      <c r="O12" s="27"/>
      <c r="P12" s="27"/>
      <c r="Q12" s="27"/>
      <c r="R12" s="27"/>
      <c r="AB12" s="550">
        <f>1+AB11</f>
        <v>1.35</v>
      </c>
      <c r="AC12" s="619">
        <v>1.0</v>
      </c>
      <c r="AD12" s="619">
        <f t="shared" si="3"/>
        <v>1.35</v>
      </c>
    </row>
    <row r="13" ht="13.5" customHeight="1">
      <c r="A13" s="27"/>
      <c r="C13" s="578" t="s">
        <v>448</v>
      </c>
      <c r="D13" s="246"/>
      <c r="E13" s="246">
        <f>+D11</f>
        <v>11157300</v>
      </c>
      <c r="F13" s="246"/>
      <c r="G13" s="246"/>
      <c r="H13" s="246"/>
      <c r="I13" s="246"/>
      <c r="K13" s="27"/>
      <c r="L13" s="27"/>
      <c r="M13" s="27"/>
      <c r="N13" s="27"/>
      <c r="O13" s="27"/>
      <c r="P13" s="27"/>
      <c r="Q13" s="27"/>
      <c r="R13" s="27"/>
      <c r="AA13" s="620" t="s">
        <v>449</v>
      </c>
      <c r="AB13" s="621">
        <f>+IRR(AA8:AF8)</f>
        <v>0.491925222</v>
      </c>
      <c r="AC13" s="619">
        <v>2.0</v>
      </c>
      <c r="AD13" s="619">
        <f t="shared" si="3"/>
        <v>1.8225</v>
      </c>
    </row>
    <row r="14" ht="13.5" customHeight="1">
      <c r="A14" s="27"/>
      <c r="C14" s="578" t="s">
        <v>450</v>
      </c>
      <c r="D14" s="246"/>
      <c r="E14" s="246"/>
      <c r="F14" s="246"/>
      <c r="G14" s="246"/>
      <c r="H14" s="246"/>
      <c r="I14" s="246">
        <f>'Activo no Corriente'!J14</f>
        <v>8228000</v>
      </c>
      <c r="K14" s="27"/>
      <c r="L14" s="27"/>
      <c r="M14" s="27"/>
      <c r="N14" s="27"/>
      <c r="O14" s="27"/>
      <c r="P14" s="27"/>
      <c r="Q14" s="27"/>
      <c r="R14" s="27"/>
      <c r="AC14" s="619">
        <v>3.0</v>
      </c>
      <c r="AD14" s="619">
        <f t="shared" si="3"/>
        <v>2.460375</v>
      </c>
    </row>
    <row r="15" ht="13.5" customHeight="1">
      <c r="A15" s="27"/>
      <c r="C15" s="578" t="s">
        <v>451</v>
      </c>
      <c r="D15" s="246"/>
      <c r="E15" s="246"/>
      <c r="F15" s="246"/>
      <c r="G15" s="246"/>
      <c r="H15" s="246"/>
      <c r="I15" s="246">
        <f>+E10</f>
        <v>17617889.82</v>
      </c>
      <c r="K15" s="27"/>
      <c r="L15" s="27"/>
      <c r="M15" s="27"/>
      <c r="N15" s="27"/>
      <c r="O15" s="27"/>
      <c r="P15" s="27"/>
      <c r="Q15" s="27"/>
      <c r="R15" s="27"/>
      <c r="AC15" s="619">
        <v>4.0</v>
      </c>
      <c r="AD15" s="619">
        <f t="shared" si="3"/>
        <v>3.32150625</v>
      </c>
    </row>
    <row r="16" ht="13.5" customHeight="1">
      <c r="A16" s="27"/>
      <c r="C16" s="578" t="s">
        <v>370</v>
      </c>
      <c r="D16" s="246"/>
      <c r="E16" s="246">
        <f>-'Balances Pro Forma'!F24</f>
        <v>0</v>
      </c>
      <c r="F16" s="246">
        <f>-'Balances Pro Forma'!I24</f>
        <v>3464177.573</v>
      </c>
      <c r="G16" s="246">
        <f>-'Balances Pro Forma'!L24</f>
        <v>28303629.63</v>
      </c>
      <c r="H16" s="246">
        <f>-'Balances Pro Forma'!O24</f>
        <v>60866215.02</v>
      </c>
      <c r="I16" s="246">
        <f>-'Balances Pro Forma'!R24</f>
        <v>108555283.7</v>
      </c>
      <c r="J16" s="615">
        <f>SUM(E16:I16)</f>
        <v>201189306</v>
      </c>
      <c r="K16" s="27"/>
      <c r="L16" s="27"/>
      <c r="M16" s="27"/>
      <c r="N16" s="27"/>
      <c r="O16" s="27"/>
      <c r="P16" s="27"/>
      <c r="Q16" s="27"/>
      <c r="R16" s="27"/>
      <c r="AC16" s="619">
        <v>5.0</v>
      </c>
      <c r="AD16" s="619">
        <f t="shared" si="3"/>
        <v>4.484033438</v>
      </c>
    </row>
    <row r="17" ht="13.5" customHeight="1">
      <c r="A17" s="27"/>
      <c r="C17" s="622"/>
      <c r="D17" s="623"/>
      <c r="E17" s="623"/>
      <c r="F17" s="623"/>
      <c r="G17" s="623"/>
      <c r="H17" s="623"/>
      <c r="I17" s="623"/>
      <c r="K17" s="27"/>
      <c r="L17" s="27"/>
      <c r="M17" s="27"/>
      <c r="N17" s="27"/>
      <c r="O17" s="27"/>
      <c r="P17" s="27"/>
      <c r="Q17" s="27"/>
      <c r="R17" s="27"/>
    </row>
    <row r="18" ht="13.5" customHeight="1">
      <c r="A18" s="27"/>
      <c r="C18" s="624" t="s">
        <v>452</v>
      </c>
      <c r="D18" s="625">
        <f>-D9-D11</f>
        <v>-58807300</v>
      </c>
      <c r="E18" s="625">
        <f>E8+E12-E10-E16+E13</f>
        <v>-32458596.73</v>
      </c>
      <c r="F18" s="626">
        <f t="shared" ref="F18:H18" si="4">F8+F12-F16</f>
        <v>17162139.3</v>
      </c>
      <c r="G18" s="626">
        <f t="shared" si="4"/>
        <v>60110616.93</v>
      </c>
      <c r="H18" s="626">
        <f t="shared" si="4"/>
        <v>117402056.5</v>
      </c>
      <c r="I18" s="626">
        <f>I8+I12-I16+I14+I15</f>
        <v>229545093</v>
      </c>
      <c r="K18" s="27"/>
      <c r="L18" s="27"/>
      <c r="M18" s="27"/>
      <c r="N18" s="27"/>
      <c r="O18" s="27"/>
      <c r="P18" s="27"/>
      <c r="Q18" s="27"/>
      <c r="R18" s="27"/>
      <c r="AA18" s="619">
        <f>+AA8/AD11</f>
        <v>-58807300</v>
      </c>
      <c r="AB18" s="619">
        <f>+AB8/AD12</f>
        <v>-24043404.99</v>
      </c>
      <c r="AC18" s="619">
        <f>+AC8/AD13</f>
        <v>9416811.689</v>
      </c>
      <c r="AD18" s="619">
        <f>+AD8/AD14</f>
        <v>24431485.82</v>
      </c>
      <c r="AE18" s="619">
        <f>+AE8/AD15</f>
        <v>35346029.07</v>
      </c>
      <c r="AF18" s="619">
        <f>+AF8/AD16</f>
        <v>51191655.05</v>
      </c>
    </row>
    <row r="19" ht="13.5" customHeight="1">
      <c r="A19" s="27"/>
      <c r="C19" s="627" t="s">
        <v>453</v>
      </c>
      <c r="D19" s="628">
        <f>D18</f>
        <v>-58807300</v>
      </c>
      <c r="E19" s="628">
        <f t="shared" ref="E19:I19" si="5">D19+E18</f>
        <v>-91265896.73</v>
      </c>
      <c r="F19" s="628">
        <f t="shared" si="5"/>
        <v>-74103757.43</v>
      </c>
      <c r="G19" s="628">
        <f t="shared" si="5"/>
        <v>-13993140.5</v>
      </c>
      <c r="H19" s="628">
        <f t="shared" si="5"/>
        <v>103408916</v>
      </c>
      <c r="I19" s="628">
        <f t="shared" si="5"/>
        <v>332954008.9</v>
      </c>
      <c r="J19" s="615">
        <f>J8-J16</f>
        <v>333728675.6</v>
      </c>
      <c r="K19" s="27"/>
      <c r="L19" s="27"/>
      <c r="M19" s="27"/>
      <c r="N19" s="27"/>
      <c r="O19" s="27"/>
      <c r="P19" s="27"/>
      <c r="Q19" s="27"/>
      <c r="R19" s="27"/>
    </row>
    <row r="20" ht="13.5" customHeight="1">
      <c r="A20" s="27"/>
      <c r="C20" s="629"/>
      <c r="D20" s="629"/>
      <c r="E20" s="629"/>
      <c r="F20" s="629"/>
      <c r="G20" s="629"/>
      <c r="H20" s="629"/>
      <c r="I20" s="629"/>
      <c r="K20" s="27"/>
      <c r="L20" s="27"/>
      <c r="M20" s="27"/>
      <c r="N20" s="27"/>
      <c r="O20" s="27"/>
      <c r="P20" s="27"/>
      <c r="Q20" s="27"/>
      <c r="R20" s="27"/>
      <c r="AB20" s="630">
        <f>+SUM(AA18:AF18)</f>
        <v>37535276.64</v>
      </c>
    </row>
    <row r="21" ht="13.5" customHeight="1">
      <c r="A21" s="27"/>
      <c r="C21" s="629"/>
      <c r="D21" s="629"/>
      <c r="E21" s="629"/>
      <c r="F21" s="629"/>
      <c r="G21" s="629"/>
      <c r="H21" s="629"/>
      <c r="I21" s="629"/>
      <c r="J21" s="615">
        <f>J19-I20</f>
        <v>333728675.6</v>
      </c>
      <c r="K21" s="27"/>
      <c r="L21" s="27"/>
      <c r="M21" s="27"/>
      <c r="N21" s="27"/>
      <c r="O21" s="27"/>
      <c r="P21" s="27"/>
      <c r="Q21" s="27"/>
      <c r="R21" s="27"/>
    </row>
    <row r="22" ht="13.5" customHeight="1">
      <c r="A22" s="27"/>
      <c r="C22" s="631" t="s">
        <v>454</v>
      </c>
      <c r="D22" s="632" t="str">
        <f> "3 años y "&amp;CONCAT(ROUNDUP($F$22,0), " dias")</f>
        <v>3 años y 450 dias</v>
      </c>
      <c r="F22" s="633">
        <f>ROUNDUP(-((F19*365)/G18),0)</f>
        <v>450</v>
      </c>
      <c r="G22" s="629" t="s">
        <v>455</v>
      </c>
      <c r="H22" s="629"/>
      <c r="I22" s="629"/>
      <c r="J22" s="38"/>
      <c r="K22" s="27"/>
      <c r="L22" s="27"/>
      <c r="M22" s="27"/>
      <c r="N22" s="27"/>
      <c r="O22" s="27"/>
      <c r="P22" s="27"/>
      <c r="Q22" s="27"/>
      <c r="R22" s="27"/>
    </row>
    <row r="23" ht="13.5" customHeight="1">
      <c r="A23" s="27"/>
      <c r="C23" s="629"/>
      <c r="D23" s="629"/>
      <c r="E23" s="629"/>
      <c r="F23" s="629"/>
      <c r="G23" s="629"/>
      <c r="H23" s="629"/>
      <c r="I23" s="629"/>
      <c r="J23" s="38"/>
      <c r="K23" s="27"/>
      <c r="L23" s="27"/>
      <c r="M23" s="27"/>
      <c r="N23" s="27"/>
      <c r="O23" s="27"/>
      <c r="P23" s="27"/>
      <c r="Q23" s="27"/>
      <c r="R23" s="27"/>
      <c r="AA23" s="620">
        <f>COUNTIF(D19:I19,"&lt;0")</f>
        <v>4</v>
      </c>
      <c r="AB23" s="634">
        <f>ROUNDUP(SUMIFS(X8:X11,X8:X11,"&gt;0"),0)</f>
        <v>2</v>
      </c>
    </row>
    <row r="24" ht="13.5" customHeight="1">
      <c r="A24" s="27"/>
      <c r="C24" s="631" t="s">
        <v>456</v>
      </c>
      <c r="D24" s="635">
        <f>I19</f>
        <v>332954008.9</v>
      </c>
      <c r="E24" s="629"/>
      <c r="F24" s="629"/>
      <c r="G24" s="629"/>
      <c r="H24" s="629"/>
      <c r="I24" s="629"/>
      <c r="J24" s="38"/>
      <c r="K24" s="27"/>
      <c r="L24" s="27"/>
      <c r="M24" s="27"/>
      <c r="N24" s="27"/>
      <c r="O24" s="27"/>
      <c r="P24" s="27"/>
      <c r="Q24" s="27"/>
      <c r="R24" s="27"/>
    </row>
    <row r="25" ht="13.5" customHeight="1">
      <c r="A25" s="27"/>
      <c r="C25" s="629"/>
      <c r="D25" s="629"/>
      <c r="E25" s="629"/>
      <c r="F25" s="629"/>
      <c r="G25" s="629"/>
      <c r="H25" s="629"/>
      <c r="I25" s="629"/>
      <c r="J25" s="38"/>
      <c r="K25" s="27"/>
      <c r="L25" s="27"/>
      <c r="M25" s="27"/>
      <c r="N25" s="27"/>
      <c r="O25" s="27"/>
      <c r="P25" s="27"/>
      <c r="Q25" s="27"/>
      <c r="R25" s="27"/>
    </row>
    <row r="26" ht="13.5" customHeight="1">
      <c r="A26" s="27"/>
      <c r="C26" s="631" t="str">
        <f>+"VAN("&amp;D4*100&amp;"%) ="</f>
        <v>VAN(35%) =</v>
      </c>
      <c r="D26" s="636">
        <f>(D18/(1.35)^0)+(E18/(1.35)^1)+(F18/(1.35)^2)+(G18/(1.35)^3)+(H18/(1.35)^4)+(I18/(1.35)^5)</f>
        <v>37535276.64</v>
      </c>
      <c r="E26" s="629"/>
      <c r="F26" s="629"/>
      <c r="G26" s="629"/>
      <c r="H26" s="629"/>
      <c r="I26" s="629"/>
      <c r="J26" s="38"/>
      <c r="K26" s="27"/>
      <c r="L26" s="27"/>
      <c r="M26" s="27"/>
      <c r="N26" s="27"/>
      <c r="O26" s="27"/>
      <c r="P26" s="27"/>
      <c r="Q26" s="27"/>
      <c r="R26" s="27"/>
    </row>
    <row r="27" ht="13.5" customHeight="1">
      <c r="A27" s="27"/>
      <c r="C27" s="629"/>
      <c r="E27" s="629"/>
      <c r="F27" s="629"/>
      <c r="G27" s="629"/>
      <c r="H27" s="629"/>
      <c r="I27" s="629"/>
      <c r="J27" s="38"/>
      <c r="K27" s="27"/>
      <c r="L27" s="27"/>
      <c r="M27" s="27"/>
      <c r="N27" s="27"/>
      <c r="O27" s="27"/>
      <c r="P27" s="27"/>
      <c r="Q27" s="27"/>
      <c r="R27" s="27"/>
    </row>
    <row r="28" ht="13.5" customHeight="1">
      <c r="A28" s="27"/>
      <c r="C28" s="631" t="s">
        <v>457</v>
      </c>
      <c r="D28" s="637">
        <f>IRR(D18:I18)</f>
        <v>0.491925222</v>
      </c>
      <c r="E28" s="629"/>
      <c r="F28" s="629"/>
      <c r="G28" s="629"/>
      <c r="H28" s="629"/>
      <c r="I28" s="629"/>
      <c r="J28" s="38"/>
      <c r="K28" s="27"/>
      <c r="L28" s="27"/>
      <c r="M28" s="27"/>
      <c r="N28" s="27"/>
      <c r="O28" s="27"/>
      <c r="P28" s="27"/>
      <c r="Q28" s="27"/>
      <c r="R28" s="27"/>
    </row>
    <row r="29" ht="13.5" customHeight="1">
      <c r="A29" s="27"/>
      <c r="C29" s="629"/>
      <c r="D29" s="629"/>
      <c r="E29" s="629"/>
      <c r="F29" s="629"/>
      <c r="G29" s="629"/>
      <c r="H29" s="629"/>
      <c r="I29" s="629"/>
      <c r="J29" s="38"/>
      <c r="K29" s="27"/>
      <c r="L29" s="27"/>
      <c r="M29" s="27"/>
      <c r="N29" s="27"/>
      <c r="O29" s="27"/>
      <c r="P29" s="27"/>
      <c r="Q29" s="27"/>
      <c r="R29" s="27"/>
    </row>
    <row r="30" ht="13.5" customHeight="1">
      <c r="A30" s="27"/>
      <c r="C30" s="638" t="str">
        <f>+"VAN("&amp;D28&amp;") ="</f>
        <v>VAN(0,491925221993088) =</v>
      </c>
      <c r="D30" s="636">
        <f>(D18/(1+D28)^0)+(E18/(1+D28)^1)+(F18/(1+D28)^2)+(G18/(1+D28)^3)+(H18/(1+D28)^4)+(I18/(1+D28)^5)</f>
        <v>0.0000002607703209</v>
      </c>
      <c r="E30" s="629"/>
      <c r="F30" s="629"/>
      <c r="G30" s="629"/>
      <c r="H30" s="629"/>
      <c r="I30" s="629"/>
      <c r="J30" s="38"/>
      <c r="K30" s="27"/>
      <c r="L30" s="27"/>
      <c r="M30" s="27"/>
      <c r="N30" s="27"/>
      <c r="O30" s="27"/>
      <c r="P30" s="27"/>
      <c r="Q30" s="27"/>
      <c r="R30" s="27"/>
    </row>
    <row r="31" ht="13.5" customHeight="1">
      <c r="A31" s="27"/>
      <c r="C31" s="629"/>
      <c r="D31" s="629"/>
      <c r="E31" s="629"/>
      <c r="F31" s="629"/>
      <c r="G31" s="629"/>
      <c r="H31" s="629"/>
      <c r="I31" s="629"/>
      <c r="J31" s="38"/>
      <c r="K31" s="27"/>
      <c r="L31" s="27"/>
      <c r="M31" s="27"/>
      <c r="N31" s="27"/>
      <c r="O31" s="27"/>
      <c r="P31" s="27"/>
      <c r="Q31" s="27"/>
      <c r="R31" s="27"/>
    </row>
    <row r="32" ht="13.5" customHeight="1">
      <c r="A32" s="27"/>
      <c r="C32" s="629"/>
      <c r="D32" s="629"/>
      <c r="E32" s="629"/>
      <c r="F32" s="629"/>
      <c r="G32" s="629"/>
      <c r="H32" s="629"/>
      <c r="I32" s="629"/>
      <c r="J32" s="38"/>
      <c r="K32" s="27"/>
      <c r="L32" s="27"/>
      <c r="M32" s="27"/>
      <c r="N32" s="27"/>
      <c r="O32" s="27"/>
      <c r="P32" s="27"/>
      <c r="Q32" s="27"/>
      <c r="R32" s="27"/>
    </row>
    <row r="33" ht="13.5" customHeight="1">
      <c r="A33" s="27"/>
      <c r="C33" s="629"/>
      <c r="D33" s="629"/>
      <c r="E33" s="629"/>
      <c r="F33" s="629"/>
      <c r="G33" s="629"/>
      <c r="H33" s="629"/>
      <c r="I33" s="629"/>
      <c r="J33" s="38"/>
      <c r="K33" s="27"/>
      <c r="L33" s="27"/>
      <c r="M33" s="27"/>
      <c r="N33" s="27"/>
      <c r="O33" s="27"/>
      <c r="P33" s="27"/>
      <c r="Q33" s="27"/>
      <c r="R33" s="27"/>
    </row>
    <row r="34" ht="13.5" customHeight="1">
      <c r="A34" s="27"/>
      <c r="C34" s="629"/>
      <c r="D34" s="629"/>
      <c r="E34" s="629"/>
      <c r="F34" s="629"/>
      <c r="G34" s="629"/>
      <c r="H34" s="629"/>
      <c r="I34" s="629"/>
      <c r="J34" s="38"/>
      <c r="K34" s="27"/>
      <c r="L34" s="27"/>
      <c r="M34" s="27"/>
      <c r="N34" s="27"/>
      <c r="O34" s="27"/>
      <c r="P34" s="27"/>
      <c r="Q34" s="27"/>
      <c r="R34" s="27"/>
    </row>
    <row r="35" ht="13.5" customHeight="1">
      <c r="A35" s="27"/>
      <c r="C35" s="38"/>
      <c r="D35" s="38"/>
      <c r="E35" s="38"/>
      <c r="F35" s="38"/>
      <c r="G35" s="38"/>
      <c r="H35" s="38"/>
      <c r="I35" s="38"/>
      <c r="J35" s="38"/>
      <c r="K35" s="27"/>
      <c r="L35" s="27"/>
      <c r="M35" s="27"/>
      <c r="N35" s="27"/>
      <c r="O35" s="27"/>
      <c r="P35" s="27"/>
      <c r="Q35" s="27"/>
      <c r="R35" s="27"/>
    </row>
    <row r="36" ht="13.5" customHeight="1">
      <c r="A36" s="27"/>
      <c r="K36" s="27"/>
      <c r="L36" s="27"/>
      <c r="M36" s="27"/>
      <c r="N36" s="27"/>
      <c r="O36" s="27"/>
      <c r="P36" s="27"/>
      <c r="Q36" s="27"/>
      <c r="R36" s="27"/>
    </row>
    <row r="37" ht="13.5" customHeight="1">
      <c r="A37" s="27"/>
      <c r="C37" s="27"/>
      <c r="D37" s="27"/>
      <c r="E37" s="27"/>
      <c r="F37" s="27"/>
      <c r="G37" s="27"/>
      <c r="H37" s="27"/>
      <c r="I37" s="27"/>
      <c r="J37" s="27"/>
      <c r="K37" s="27"/>
      <c r="L37" s="27"/>
      <c r="M37" s="27"/>
      <c r="N37" s="27"/>
      <c r="O37" s="27"/>
      <c r="P37" s="27"/>
      <c r="Q37" s="27"/>
      <c r="R37" s="27"/>
    </row>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6:I6"/>
  </mergeCells>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2024-05-10T11:32:20Z</dcterms:created>
  <dc:creator>mia felix zambrana</dc:creator>
</cp:coreProperties>
</file>